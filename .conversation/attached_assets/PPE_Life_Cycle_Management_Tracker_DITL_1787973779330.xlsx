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if_HSSE\PPE Management Process\PPE Management Tracker\2026\"/>
    </mc:Choice>
  </mc:AlternateContent>
  <xr:revisionPtr revIDLastSave="0" documentId="13_ncr:1_{02507412-C55C-4F04-8717-1E07B8CCF56F}" xr6:coauthVersionLast="47" xr6:coauthVersionMax="47" xr10:uidLastSave="{00000000-0000-0000-0000-000000000000}"/>
  <bookViews>
    <workbookView xWindow="-120" yWindow="-120" windowWidth="20730" windowHeight="11040" xr2:uid="{CE7F1E1B-86A2-4879-A597-61D9161D43D6}"/>
  </bookViews>
  <sheets>
    <sheet name="Database" sheetId="1" r:id="rId1"/>
    <sheet name="Requirements" sheetId="6" r:id="rId2"/>
    <sheet name="Transfer Log" sheetId="5" r:id="rId3"/>
    <sheet name="Disposal Log" sheetId="3" r:id="rId4"/>
    <sheet name="Standard PPE" sheetId="2" r:id="rId5"/>
    <sheet name="Employee database" sheetId="4" r:id="rId6"/>
  </sheets>
  <definedNames>
    <definedName name="_xlnm._FilterDatabase" localSheetId="0" hidden="1">Database!$A$3:$EL$133</definedName>
    <definedName name="_xlnm._FilterDatabase" localSheetId="5" hidden="1">'Employee database'!$B$2:$K$132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W50" i="1" l="1"/>
  <c r="CW49" i="1"/>
  <c r="DH107" i="1"/>
  <c r="C12" i="6"/>
  <c r="E12" i="6"/>
  <c r="F12" i="6"/>
  <c r="G12" i="6"/>
  <c r="H12" i="6"/>
  <c r="I12" i="6"/>
  <c r="J12" i="6"/>
  <c r="K12" i="6"/>
  <c r="L12" i="6"/>
  <c r="M12" i="6"/>
  <c r="D12" i="6"/>
  <c r="CW51" i="1"/>
  <c r="DH49" i="1"/>
  <c r="DT48" i="1"/>
  <c r="CQ48" i="1"/>
  <c r="DT47" i="1"/>
  <c r="DM47" i="1"/>
  <c r="CQ47" i="1"/>
  <c r="DT45" i="1"/>
  <c r="DT42" i="1"/>
  <c r="CW42" i="1"/>
  <c r="CQ42" i="1"/>
  <c r="DZ41" i="1"/>
  <c r="DT41" i="1"/>
  <c r="CQ41" i="1"/>
  <c r="DT40" i="1"/>
  <c r="CW40" i="1"/>
  <c r="CQ40" i="1"/>
  <c r="CQ39" i="1"/>
  <c r="DZ38" i="1"/>
  <c r="DT38" i="1"/>
  <c r="CW38" i="1"/>
  <c r="CQ38" i="1"/>
  <c r="CQ37" i="1"/>
  <c r="DH36" i="1"/>
  <c r="DZ35" i="1"/>
  <c r="DT35" i="1"/>
  <c r="CQ35" i="1"/>
  <c r="DT34" i="1"/>
  <c r="DM34" i="1"/>
  <c r="CW34" i="1"/>
  <c r="CQ34" i="1"/>
  <c r="DT33" i="1"/>
  <c r="CW33" i="1"/>
  <c r="CQ33" i="1"/>
  <c r="AF51" i="1"/>
  <c r="AB51" i="1"/>
  <c r="V51" i="1"/>
  <c r="P51" i="1"/>
  <c r="AF50" i="1"/>
  <c r="AB50" i="1"/>
  <c r="V50" i="1"/>
  <c r="P50" i="1"/>
  <c r="AF49" i="1"/>
  <c r="AB49" i="1"/>
  <c r="V49" i="1"/>
  <c r="P49" i="1"/>
  <c r="V48" i="1"/>
  <c r="P48" i="1"/>
  <c r="J48" i="1"/>
  <c r="V47" i="1"/>
  <c r="P47" i="1"/>
  <c r="J47" i="1"/>
  <c r="V46" i="1"/>
  <c r="P46" i="1"/>
  <c r="J46" i="1"/>
  <c r="V45" i="1"/>
  <c r="P45" i="1"/>
  <c r="J45" i="1"/>
  <c r="V44" i="1"/>
  <c r="P44" i="1"/>
  <c r="J44" i="1"/>
  <c r="V43" i="1"/>
  <c r="P43" i="1"/>
  <c r="J43" i="1"/>
  <c r="V42" i="1"/>
  <c r="P42" i="1"/>
  <c r="J42" i="1"/>
  <c r="V41" i="1"/>
  <c r="P41" i="1"/>
  <c r="J41" i="1"/>
  <c r="V40" i="1"/>
  <c r="P40" i="1"/>
  <c r="J40" i="1"/>
  <c r="V39" i="1"/>
  <c r="P39" i="1"/>
  <c r="J39" i="1"/>
  <c r="V38" i="1"/>
  <c r="P38" i="1"/>
  <c r="J38" i="1"/>
  <c r="V37" i="1"/>
  <c r="P37" i="1"/>
  <c r="J37" i="1"/>
  <c r="V36" i="1"/>
  <c r="P36" i="1"/>
  <c r="J36" i="1"/>
  <c r="V35" i="1"/>
  <c r="P35" i="1"/>
  <c r="J35" i="1"/>
  <c r="V34" i="1"/>
  <c r="P34" i="1"/>
  <c r="J34" i="1"/>
  <c r="V33" i="1"/>
  <c r="P33" i="1"/>
  <c r="J33" i="1"/>
  <c r="V32" i="1"/>
  <c r="P32" i="1"/>
  <c r="J32" i="1"/>
  <c r="DZ30" i="1" l="1"/>
  <c r="DZ27" i="1"/>
  <c r="DZ17" i="1"/>
  <c r="P129" i="1" l="1"/>
  <c r="DT129" i="1"/>
  <c r="DZ129" i="1"/>
  <c r="P128" i="1"/>
  <c r="DT128" i="1"/>
  <c r="P133" i="1"/>
  <c r="DT133" i="1"/>
  <c r="DT132" i="1"/>
  <c r="P132" i="1"/>
  <c r="J13" i="1"/>
  <c r="J4" i="1"/>
  <c r="J5" i="1"/>
  <c r="J7" i="1"/>
  <c r="J8" i="1"/>
  <c r="J9" i="1"/>
  <c r="J10" i="1"/>
  <c r="J14" i="1"/>
  <c r="J16" i="1"/>
  <c r="J107" i="1"/>
  <c r="J105" i="1"/>
  <c r="J88" i="1"/>
  <c r="J87" i="1"/>
  <c r="J86" i="1"/>
  <c r="J85" i="1"/>
  <c r="J84" i="1"/>
  <c r="J83" i="1"/>
  <c r="J82" i="1"/>
  <c r="J81" i="1"/>
  <c r="J75" i="1"/>
  <c r="J79" i="1"/>
  <c r="J78" i="1"/>
  <c r="J77" i="1"/>
  <c r="J73" i="1"/>
  <c r="J72" i="1"/>
  <c r="J71" i="1"/>
  <c r="J69" i="1"/>
  <c r="J68" i="1"/>
  <c r="J67" i="1"/>
  <c r="J65" i="1"/>
  <c r="J64" i="1"/>
  <c r="J63" i="1"/>
  <c r="J62" i="1"/>
  <c r="J61" i="1"/>
  <c r="J60" i="1"/>
  <c r="J59" i="1"/>
  <c r="J58" i="1"/>
  <c r="J56" i="1"/>
  <c r="J55" i="1"/>
  <c r="J54" i="1"/>
  <c r="J53" i="1"/>
  <c r="J52" i="1"/>
  <c r="AB122" i="1" l="1"/>
  <c r="AB120" i="1"/>
  <c r="AB113" i="1"/>
  <c r="AB107" i="1"/>
  <c r="AB105" i="1"/>
  <c r="CW78" i="1"/>
  <c r="CW77" i="1"/>
  <c r="CW75" i="1"/>
  <c r="CW65" i="1"/>
  <c r="CW64" i="1"/>
  <c r="CW55" i="1"/>
  <c r="CW54" i="1"/>
  <c r="CW52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89" i="1"/>
  <c r="CX27" i="1"/>
  <c r="CX28" i="1"/>
  <c r="CX17" i="1"/>
  <c r="CR21" i="1"/>
  <c r="CR27" i="1"/>
  <c r="CR29" i="1"/>
  <c r="CR31" i="1"/>
  <c r="CR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17" i="1"/>
  <c r="J18" i="1"/>
  <c r="J20" i="1"/>
  <c r="J21" i="1"/>
  <c r="J23" i="1"/>
  <c r="J24" i="1"/>
  <c r="J26" i="1"/>
  <c r="J27" i="1"/>
  <c r="J28" i="1"/>
  <c r="J29" i="1"/>
  <c r="J30" i="1"/>
  <c r="J31" i="1"/>
  <c r="J17" i="1"/>
  <c r="CW5" i="1"/>
  <c r="CW12" i="1"/>
  <c r="CW13" i="1"/>
  <c r="CW14" i="1"/>
  <c r="CW16" i="1"/>
  <c r="CW4" i="1"/>
  <c r="CQ8" i="1"/>
  <c r="CQ9" i="1"/>
  <c r="CQ10" i="1"/>
  <c r="CQ13" i="1"/>
  <c r="CQ14" i="1"/>
  <c r="CQ16" i="1"/>
  <c r="V5" i="1"/>
  <c r="V6" i="1"/>
  <c r="V7" i="1"/>
  <c r="V8" i="1"/>
  <c r="V9" i="1"/>
  <c r="V10" i="1"/>
  <c r="V11" i="1"/>
  <c r="V12" i="1"/>
  <c r="V14" i="1"/>
  <c r="V16" i="1"/>
  <c r="V4" i="1"/>
  <c r="DZ125" i="1"/>
  <c r="DZ122" i="1"/>
  <c r="DZ119" i="1"/>
  <c r="DZ117" i="1"/>
  <c r="DZ116" i="1"/>
  <c r="DZ114" i="1"/>
  <c r="DZ111" i="1"/>
  <c r="DZ110" i="1"/>
  <c r="DZ108" i="1"/>
  <c r="DZ106" i="1"/>
  <c r="DZ100" i="1"/>
  <c r="DZ97" i="1"/>
  <c r="DZ96" i="1"/>
  <c r="DZ90" i="1"/>
  <c r="DZ83" i="1"/>
  <c r="DZ78" i="1"/>
  <c r="DZ77" i="1"/>
  <c r="DZ75" i="1"/>
  <c r="DZ64" i="1"/>
  <c r="DZ61" i="1"/>
  <c r="DZ56" i="1"/>
  <c r="DZ52" i="1"/>
  <c r="DZ28" i="1"/>
  <c r="DZ7" i="1"/>
  <c r="DZ5" i="1"/>
  <c r="DT5" i="1"/>
  <c r="DT6" i="1"/>
  <c r="DT7" i="1"/>
  <c r="DT13" i="1"/>
  <c r="DT17" i="1"/>
  <c r="DT19" i="1"/>
  <c r="DT21" i="1"/>
  <c r="DT26" i="1"/>
  <c r="DT27" i="1"/>
  <c r="DT28" i="1"/>
  <c r="DT29" i="1"/>
  <c r="DT31" i="1"/>
  <c r="DT53" i="1"/>
  <c r="DT55" i="1"/>
  <c r="DT56" i="1"/>
  <c r="DT58" i="1"/>
  <c r="DT60" i="1"/>
  <c r="DT61" i="1"/>
  <c r="DT63" i="1"/>
  <c r="DT65" i="1"/>
  <c r="DT66" i="1"/>
  <c r="DT67" i="1"/>
  <c r="DT70" i="1"/>
  <c r="DT71" i="1"/>
  <c r="DT73" i="1"/>
  <c r="DT74" i="1"/>
  <c r="DT86" i="1"/>
  <c r="DT87" i="1"/>
  <c r="DT88" i="1"/>
  <c r="DT89" i="1"/>
  <c r="DT90" i="1"/>
  <c r="DT91" i="1"/>
  <c r="DT92" i="1"/>
  <c r="DT93" i="1"/>
  <c r="DT94" i="1"/>
  <c r="DT95" i="1"/>
  <c r="DT96" i="1"/>
  <c r="DT97" i="1"/>
  <c r="DT98" i="1"/>
  <c r="DT99" i="1"/>
  <c r="DT100" i="1"/>
  <c r="DT101" i="1"/>
  <c r="DT102" i="1"/>
  <c r="DT103" i="1"/>
  <c r="DT104" i="1"/>
  <c r="DT105" i="1"/>
  <c r="DT106" i="1"/>
  <c r="DT107" i="1"/>
  <c r="DT108" i="1"/>
  <c r="DT109" i="1"/>
  <c r="DT110" i="1"/>
  <c r="DT111" i="1"/>
  <c r="DT112" i="1"/>
  <c r="DT122" i="1"/>
  <c r="DT123" i="1"/>
  <c r="DT124" i="1"/>
  <c r="DT125" i="1"/>
  <c r="DT126" i="1"/>
  <c r="DT127" i="1"/>
  <c r="DT130" i="1"/>
  <c r="DT131" i="1"/>
  <c r="DT4" i="1"/>
  <c r="DM119" i="1"/>
  <c r="DM114" i="1"/>
  <c r="DH119" i="1"/>
  <c r="DH114" i="1"/>
  <c r="DH113" i="1"/>
  <c r="DH106" i="1"/>
  <c r="DH94" i="1"/>
  <c r="DH80" i="1"/>
  <c r="DH78" i="1"/>
  <c r="DH74" i="1"/>
  <c r="DH70" i="1"/>
  <c r="DH67" i="1"/>
  <c r="DH53" i="1"/>
  <c r="DH52" i="1"/>
  <c r="DH27" i="1"/>
  <c r="DH21" i="1"/>
  <c r="DH14" i="1"/>
  <c r="DH10" i="1"/>
  <c r="DH8" i="1"/>
  <c r="DH5" i="1"/>
  <c r="AB103" i="1"/>
  <c r="AB93" i="1"/>
  <c r="AB80" i="1"/>
  <c r="AB76" i="1"/>
  <c r="AB74" i="1"/>
  <c r="AB70" i="1"/>
  <c r="AB66" i="1"/>
  <c r="AB57" i="1"/>
  <c r="AB25" i="1"/>
  <c r="AB22" i="1"/>
  <c r="AB19" i="1"/>
  <c r="AB12" i="1"/>
  <c r="AB11" i="1"/>
  <c r="AB6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9" i="1"/>
  <c r="P120" i="1"/>
  <c r="P121" i="1"/>
  <c r="P122" i="1"/>
  <c r="P123" i="1"/>
  <c r="P124" i="1"/>
  <c r="P125" i="1"/>
  <c r="P126" i="1"/>
  <c r="P127" i="1"/>
  <c r="P131" i="1"/>
  <c r="P4" i="1"/>
  <c r="AF122" i="1"/>
  <c r="AF56" i="1"/>
  <c r="AF120" i="1" l="1"/>
  <c r="AF113" i="1"/>
  <c r="AF107" i="1"/>
  <c r="AF105" i="1"/>
  <c r="AF103" i="1"/>
  <c r="AF102" i="1"/>
  <c r="AF95" i="1"/>
  <c r="AF93" i="1"/>
  <c r="AF80" i="1"/>
  <c r="AF76" i="1"/>
  <c r="AF74" i="1"/>
  <c r="AF70" i="1"/>
  <c r="AF66" i="1"/>
  <c r="AF57" i="1"/>
  <c r="AF25" i="1"/>
  <c r="AF22" i="1"/>
  <c r="AF19" i="1"/>
  <c r="AF12" i="1"/>
  <c r="AF11" i="1"/>
  <c r="AF6" i="1"/>
  <c r="EF1" i="1" l="1"/>
  <c r="EC1" i="1"/>
  <c r="DW1" i="1"/>
  <c r="DQ1" i="1"/>
  <c r="DK1" i="1"/>
  <c r="DE1" i="1"/>
  <c r="CU1" i="1"/>
  <c r="CO1" i="1"/>
  <c r="CI1" i="1"/>
  <c r="BR1" i="1"/>
  <c r="BG1" i="1"/>
  <c r="AV1" i="1"/>
  <c r="AK1" i="1"/>
  <c r="Z1" i="1"/>
  <c r="T1" i="1"/>
  <c r="N1" i="1"/>
  <c r="H1" i="1"/>
</calcChain>
</file>

<file path=xl/sharedStrings.xml><?xml version="1.0" encoding="utf-8"?>
<sst xmlns="http://schemas.openxmlformats.org/spreadsheetml/2006/main" count="3472" uniqueCount="1215">
  <si>
    <t>SN</t>
  </si>
  <si>
    <t>ID</t>
  </si>
  <si>
    <t>Name</t>
  </si>
  <si>
    <t>Mobile No.</t>
  </si>
  <si>
    <t>Designation</t>
  </si>
  <si>
    <t>Safety Shoe</t>
  </si>
  <si>
    <t>Safety Vest</t>
  </si>
  <si>
    <t>Full Body Harness</t>
  </si>
  <si>
    <t>Climbing Helmet</t>
  </si>
  <si>
    <t>Shock Absorbing Lanyards</t>
  </si>
  <si>
    <t>Y Positioning Lanyards</t>
  </si>
  <si>
    <t>Carabiners</t>
  </si>
  <si>
    <t>Insulated Rubber Gloves</t>
  </si>
  <si>
    <t>Life Jacket</t>
  </si>
  <si>
    <t>Head Lamp</t>
  </si>
  <si>
    <t>Loading Gloves</t>
  </si>
  <si>
    <t>Raincoat</t>
  </si>
  <si>
    <t>Helmet (Network Site)</t>
  </si>
  <si>
    <t>Hand Gloves
(Network Site)</t>
  </si>
  <si>
    <t>Hand Gloves
(WAH)</t>
  </si>
  <si>
    <t>Rescue pully</t>
  </si>
  <si>
    <t>Rescue rope</t>
  </si>
  <si>
    <t>Knee high safety boot</t>
  </si>
  <si>
    <t>Snake gaiters</t>
  </si>
  <si>
    <t xml:space="preserve">Eye googles </t>
  </si>
  <si>
    <t xml:space="preserve"> Md. Sajedul Islam</t>
  </si>
  <si>
    <t>Senior Technician</t>
  </si>
  <si>
    <t>CMM</t>
  </si>
  <si>
    <t>Anisur Rahman</t>
  </si>
  <si>
    <t>Md.Kamal Hossin</t>
  </si>
  <si>
    <t>Rigger</t>
  </si>
  <si>
    <t>Md. Jahid Hassan</t>
  </si>
  <si>
    <t>Md.Mamun Biswas</t>
  </si>
  <si>
    <t>Technician</t>
  </si>
  <si>
    <t xml:space="preserve">Md.Al- Amin </t>
  </si>
  <si>
    <t>Service Engineer</t>
  </si>
  <si>
    <t>Ekramul Haque</t>
  </si>
  <si>
    <t>Md. Abul Basher</t>
  </si>
  <si>
    <t>Md.Mustafijur Rahman</t>
  </si>
  <si>
    <t xml:space="preserve">PM Rigger </t>
  </si>
  <si>
    <t>Power Technician</t>
  </si>
  <si>
    <t>DG Expert</t>
  </si>
  <si>
    <t>Power Expert</t>
  </si>
  <si>
    <t xml:space="preserve">Md. Tamim Hossin </t>
  </si>
  <si>
    <t>PM Engineer</t>
  </si>
  <si>
    <t>PG Runner</t>
  </si>
  <si>
    <t>Babu Mondol</t>
  </si>
  <si>
    <t>CMO</t>
  </si>
  <si>
    <t>Md.Miraz Ali Khan</t>
  </si>
  <si>
    <t>Tarak Bin Hasim</t>
  </si>
  <si>
    <t>Md.Yeasin Arafat</t>
  </si>
  <si>
    <t>Md. Mazharul Islam</t>
  </si>
  <si>
    <t>Md. Rasel Hossain</t>
  </si>
  <si>
    <t>PG Expert</t>
  </si>
  <si>
    <t>Md. Sharif Uddin</t>
  </si>
  <si>
    <t>Technical officer</t>
  </si>
  <si>
    <t>Md. Moshiur Rahman</t>
  </si>
  <si>
    <t>Md. Saidul Hasan</t>
  </si>
  <si>
    <t>CND</t>
  </si>
  <si>
    <t>Mahabub Alam Asif</t>
  </si>
  <si>
    <t>Samiul Hossain</t>
  </si>
  <si>
    <t>Md Rezaul Hoque</t>
  </si>
  <si>
    <t>Md. Jahid Sarker</t>
  </si>
  <si>
    <t>Senior Service Engineer</t>
  </si>
  <si>
    <t>Md. Akash Ali</t>
  </si>
  <si>
    <t>Md. Sohan Miah</t>
  </si>
  <si>
    <t>Md. Ansarul Islam Sharif</t>
  </si>
  <si>
    <t>Sr. PG Repair Technician</t>
  </si>
  <si>
    <t>Titu Paul</t>
  </si>
  <si>
    <t>SK Salahuddin</t>
  </si>
  <si>
    <t>Shahjalal Ahamed Shawon</t>
  </si>
  <si>
    <t>Md. Sakib</t>
  </si>
  <si>
    <t>Linkan Halder</t>
  </si>
  <si>
    <t>Md Sohag Shikder</t>
  </si>
  <si>
    <t>Zahid Hasan</t>
  </si>
  <si>
    <t>Hridoy Tikader</t>
  </si>
  <si>
    <t>Md. Jaherul  Islam</t>
  </si>
  <si>
    <t>NON</t>
  </si>
  <si>
    <t>Md. Ariful Islam</t>
  </si>
  <si>
    <t>Md. Rashed Ullah</t>
  </si>
  <si>
    <t>Md. Mizanur Rahman</t>
  </si>
  <si>
    <t>Solar Expert</t>
  </si>
  <si>
    <t>Md. Rafiqul Islam</t>
  </si>
  <si>
    <t>Md. Eamin</t>
  </si>
  <si>
    <t>Md. Mehidi Hasan</t>
  </si>
  <si>
    <t>Saleh Ahmmed</t>
  </si>
  <si>
    <t>Md. Shorif Mondol</t>
  </si>
  <si>
    <t xml:space="preserve">Reyad Hossain </t>
  </si>
  <si>
    <t>Md. Arif Hossain</t>
  </si>
  <si>
    <t>Md. Sentu Sheikh</t>
  </si>
  <si>
    <t>Md.Arifur Rahman</t>
  </si>
  <si>
    <t>Md Aniyet Hossain</t>
  </si>
  <si>
    <t>Mintu Chandra Nath</t>
  </si>
  <si>
    <t>Raju Mondal</t>
  </si>
  <si>
    <t>NOS</t>
  </si>
  <si>
    <t>Md. Al- Amin Hossain Rigan</t>
  </si>
  <si>
    <t xml:space="preserve">Md .Nur Jaman </t>
  </si>
  <si>
    <t>Ariful Islam</t>
  </si>
  <si>
    <t>Md.Amirul Islam</t>
  </si>
  <si>
    <t>Badhon Kumar Das</t>
  </si>
  <si>
    <t>Md.Rasel Mia</t>
  </si>
  <si>
    <t>Mahbub Hossain</t>
  </si>
  <si>
    <t>Abdul Mihad</t>
  </si>
  <si>
    <t>Md.Kamuruzzaman Saheb Ali</t>
  </si>
  <si>
    <t>Samaresh Mondol</t>
  </si>
  <si>
    <t>Md. Omar Faruk</t>
  </si>
  <si>
    <t>Md. Samsul Arfin</t>
  </si>
  <si>
    <t>Md. Rezaul Islam Nahid</t>
  </si>
  <si>
    <t>Antor Sarker</t>
  </si>
  <si>
    <t>CTG Central</t>
  </si>
  <si>
    <t>Mohin Uddin</t>
  </si>
  <si>
    <t>Md. Atahar Ali</t>
  </si>
  <si>
    <t>Manik Chandra Das</t>
  </si>
  <si>
    <t>Technical Officer</t>
  </si>
  <si>
    <t>Kazi Masud Rana</t>
  </si>
  <si>
    <t>Md. Imran Hossain</t>
  </si>
  <si>
    <t>Md. Nazrul Islam</t>
  </si>
  <si>
    <t>Md. Abdul Momin</t>
  </si>
  <si>
    <t>PM Rigger</t>
  </si>
  <si>
    <t>Md. Liton Molla</t>
  </si>
  <si>
    <t>Arif Pramanik</t>
  </si>
  <si>
    <t>Md. Zahidul Islam</t>
  </si>
  <si>
    <t>Dipankar Halder</t>
  </si>
  <si>
    <t>AC Technician</t>
  </si>
  <si>
    <t>Md. Ahsan Habib</t>
  </si>
  <si>
    <t>CTG West</t>
  </si>
  <si>
    <t>Md. Manik Mia</t>
  </si>
  <si>
    <t>Md. Mizbah Uddin</t>
  </si>
  <si>
    <t>Md. Habibur Rahman</t>
  </si>
  <si>
    <t>Md. Shafikul Islam</t>
  </si>
  <si>
    <t>Subrata Haldar</t>
  </si>
  <si>
    <t>Md. Rokib Uddin</t>
  </si>
  <si>
    <t>Chanchal Sarker</t>
  </si>
  <si>
    <t>Rahamatullah Tarek</t>
  </si>
  <si>
    <t>Md. Naimul Hoque</t>
  </si>
  <si>
    <t>Md. Abdul Mannan</t>
  </si>
  <si>
    <t>Uzzal Haldar</t>
  </si>
  <si>
    <t>Mohammad Salim</t>
  </si>
  <si>
    <t>Md. Shamim Reza</t>
  </si>
  <si>
    <t>Md. Nayeem Hossain</t>
  </si>
  <si>
    <t>Md. Abul Kawsar Ripon</t>
  </si>
  <si>
    <t>SC Name</t>
  </si>
  <si>
    <t>Manufacturing date_Full body harness</t>
  </si>
  <si>
    <t>Manufacturing date_Shock absorber</t>
  </si>
  <si>
    <t>Manufacturing date_Positioning Lanyards</t>
  </si>
  <si>
    <t>Manufacturing date_Carabiners</t>
  </si>
  <si>
    <t>PPE Distribution Register</t>
  </si>
  <si>
    <t>Manufacturing date_Climbing Helmet</t>
  </si>
  <si>
    <t>Brand Name_Climbing Helmet</t>
  </si>
  <si>
    <t>Model Name__Climbing Helmet</t>
  </si>
  <si>
    <t>Brand Name_Full body harness</t>
  </si>
  <si>
    <t>Model Name__Full body harness</t>
  </si>
  <si>
    <t>Brand Name_Shock absorber</t>
  </si>
  <si>
    <t>Model Name__Shock absorber</t>
  </si>
  <si>
    <t>Brand Name_Positioning Lanyards</t>
  </si>
  <si>
    <t>Model Name__Positioning Lanyards</t>
  </si>
  <si>
    <t>Brand Name_Carabiners</t>
  </si>
  <si>
    <t>Model Name__Carabiners</t>
  </si>
  <si>
    <t>Manufacturing date_Insulated Rubber Gloves</t>
  </si>
  <si>
    <t>Brand Name_Insulated Rubber Gloves</t>
  </si>
  <si>
    <t>Model Name__Insulated Rubber Gloves</t>
  </si>
  <si>
    <t>SF-06</t>
  </si>
  <si>
    <t>PN 56</t>
  </si>
  <si>
    <t>Karam</t>
  </si>
  <si>
    <t>PN 242</t>
  </si>
  <si>
    <t>PN 111/112</t>
  </si>
  <si>
    <t>Kavach</t>
  </si>
  <si>
    <t>NA</t>
  </si>
  <si>
    <t>Expiry Date</t>
  </si>
  <si>
    <t>Expir Date</t>
  </si>
  <si>
    <t>Work Type</t>
  </si>
  <si>
    <t>Electrical</t>
  </si>
  <si>
    <t>Electrical &amp; W@H</t>
  </si>
  <si>
    <t>Issue Date_Helmet (Network Site)</t>
  </si>
  <si>
    <t>Issue Date_Safety Shoe</t>
  </si>
  <si>
    <t>Issue Date_Safety Vest</t>
  </si>
  <si>
    <t>Serial No_Climbing Helmet</t>
  </si>
  <si>
    <t>Issue Date_Climbing Helmet</t>
  </si>
  <si>
    <t>Issue Date_Full Body Harness</t>
  </si>
  <si>
    <t>Serial No_Full Body Harness</t>
  </si>
  <si>
    <t>Issue Date_Shock Absorbing Lanyards</t>
  </si>
  <si>
    <t>Serial No_Shock Absorbing Lanyards</t>
  </si>
  <si>
    <t>Issue Date_Y Positioning Lanyards</t>
  </si>
  <si>
    <t>Serial No_Y Positioning Lanyards</t>
  </si>
  <si>
    <t>Issue Date_Carabiners</t>
  </si>
  <si>
    <t>Serial No-Carabiners</t>
  </si>
  <si>
    <t>Issue Date_Hand Gloves
(WAH)</t>
  </si>
  <si>
    <t>Issue Date_Loading Gloves</t>
  </si>
  <si>
    <t>Issue Date_Insulated Rubber Gloves</t>
  </si>
  <si>
    <t>Issue Date_Life Jacket</t>
  </si>
  <si>
    <t>Issue Date_Head Lamp</t>
  </si>
  <si>
    <t>Issue Date_Raincoat</t>
  </si>
  <si>
    <t>Issue Date_Knee high safety boot</t>
  </si>
  <si>
    <t>Issue Date_Snake gaiters</t>
  </si>
  <si>
    <t xml:space="preserve">Issue Date_Eye googles </t>
  </si>
  <si>
    <t>CM-FBH-01</t>
  </si>
  <si>
    <t>CM-PL-01</t>
  </si>
  <si>
    <t>MD. Billal hosen</t>
  </si>
  <si>
    <t>Antu Dash</t>
  </si>
  <si>
    <t>Rimon Ali</t>
  </si>
  <si>
    <t>Elahi Akondo Noyon</t>
  </si>
  <si>
    <t xml:space="preserve">Namait Ullah </t>
  </si>
  <si>
    <t>ADELA</t>
  </si>
  <si>
    <t>0298</t>
  </si>
  <si>
    <t>0488</t>
  </si>
  <si>
    <t>0101</t>
  </si>
  <si>
    <t>0136</t>
  </si>
  <si>
    <t>N/F</t>
  </si>
  <si>
    <t>003</t>
  </si>
  <si>
    <t>0484</t>
  </si>
  <si>
    <t>0347</t>
  </si>
  <si>
    <t>0115</t>
  </si>
  <si>
    <t>Badol Ckandra Roy</t>
  </si>
  <si>
    <t>Not Found</t>
  </si>
  <si>
    <t>Electrical &amp; WAH</t>
  </si>
  <si>
    <t>Md. Sumon Hossan</t>
  </si>
  <si>
    <t>Md. Rubel mia</t>
  </si>
  <si>
    <t>Shahjahan</t>
  </si>
  <si>
    <t>Shahidul Islam</t>
  </si>
  <si>
    <t>Shamim Ahmed</t>
  </si>
  <si>
    <t>Jahidul islam Khan</t>
  </si>
  <si>
    <t>Omar Faruuk</t>
  </si>
  <si>
    <t>Arafat</t>
  </si>
  <si>
    <t>Rasidul Sheikh</t>
  </si>
  <si>
    <t>Farukuzzaman Babor</t>
  </si>
  <si>
    <t>Solar Tech</t>
  </si>
  <si>
    <t>Jashim Uddin</t>
  </si>
  <si>
    <t>Md Morshed Rakib</t>
  </si>
  <si>
    <t>DG Technician</t>
  </si>
  <si>
    <t>Power Expart</t>
  </si>
  <si>
    <t>Shubot Baskey</t>
  </si>
  <si>
    <t>Md. Alauddin</t>
  </si>
  <si>
    <t>Nadim</t>
  </si>
  <si>
    <t>Jahidul Islam</t>
  </si>
  <si>
    <t>Ahsan Habib</t>
  </si>
  <si>
    <t>Azizur Rahman</t>
  </si>
  <si>
    <t>Naim Ali</t>
  </si>
  <si>
    <t>Md. Mabub Hossain</t>
  </si>
  <si>
    <t>Md. Abdul Razzak</t>
  </si>
  <si>
    <t>Purchase Date_Helmet (Network Site)</t>
  </si>
  <si>
    <t>Purchase Date-Safety Shoe</t>
  </si>
  <si>
    <t>Purchase Date_Safety Vest</t>
  </si>
  <si>
    <t>Purchase Date_Climbing Helmet</t>
  </si>
  <si>
    <t>Purchase Date_Full Body Harness</t>
  </si>
  <si>
    <t>Purchase Date_Shock Absorbing Lanyards</t>
  </si>
  <si>
    <t>Purchase Date_Y Positioning Lanyards</t>
  </si>
  <si>
    <t>Purchase Date_Carabiners</t>
  </si>
  <si>
    <t>Purchase Date_Hand Gloves
(WAH)</t>
  </si>
  <si>
    <t>Purchase Date_Loading Gloves</t>
  </si>
  <si>
    <t>Purchase Date_Insulated Rubber Gloves</t>
  </si>
  <si>
    <t>Purchase Date_Life Jacket</t>
  </si>
  <si>
    <t>Purchase Date_Head Lamp</t>
  </si>
  <si>
    <t>Purchase Date_Raincoat</t>
  </si>
  <si>
    <t>Purchase Date_Knee high safety boot</t>
  </si>
  <si>
    <t>Purchase Date_Snake gaiters</t>
  </si>
  <si>
    <t xml:space="preserve">Purchase Date_Eye googles </t>
  </si>
  <si>
    <t>Skill</t>
  </si>
  <si>
    <t>Helmet (Network Site)_ID</t>
  </si>
  <si>
    <t>Helmet (Network Site)_Last inspection date</t>
  </si>
  <si>
    <t>Helmet (Network Site)_Status</t>
  </si>
  <si>
    <t>Safety Shoe_ID</t>
  </si>
  <si>
    <t>Safety Shoe_Last inspection date</t>
  </si>
  <si>
    <t>Safety Shoe_Status</t>
  </si>
  <si>
    <t>Safety Vest_ID</t>
  </si>
  <si>
    <t>Safety Vest_Last inspection date</t>
  </si>
  <si>
    <t>Safety Vest_Status</t>
  </si>
  <si>
    <t>Climbing Helmet_ID</t>
  </si>
  <si>
    <t>Climbing Helmet_Last inspection date</t>
  </si>
  <si>
    <t>Climbing Helmet_Status</t>
  </si>
  <si>
    <t>Full Body Harness_ID</t>
  </si>
  <si>
    <t>Full Body Harness_Last inspection date</t>
  </si>
  <si>
    <t>Full Body Harness_Status</t>
  </si>
  <si>
    <t>Shock Absorbing Lanyards_ID</t>
  </si>
  <si>
    <t>Shock Absorbing Lanyards_Last inspection date</t>
  </si>
  <si>
    <t>Shock Absorbing Lanyards_Status</t>
  </si>
  <si>
    <t>Y Positioning Lanyards_ID</t>
  </si>
  <si>
    <t>Y Positioning Lanyards_Last inspection date</t>
  </si>
  <si>
    <t>Y Positioning Lanyards_Status</t>
  </si>
  <si>
    <t>Carabiners_ID</t>
  </si>
  <si>
    <t>Carabiners_Last inspection date</t>
  </si>
  <si>
    <t>Carabiners_Status</t>
  </si>
  <si>
    <t>Hand Gloves
(WAH)_ID</t>
  </si>
  <si>
    <t>Hand Gloves
(WAH)_Last inspection date</t>
  </si>
  <si>
    <t>Hand Gloves
(WAH)_Status</t>
  </si>
  <si>
    <t>Loading Gloves_ID</t>
  </si>
  <si>
    <t>Loading Gloves_Last inspection date</t>
  </si>
  <si>
    <t>Loading Gloves_Status</t>
  </si>
  <si>
    <t>Insulated Rubber Gloves_ID</t>
  </si>
  <si>
    <t>Insulated Rubber Gloves_Last inspection date</t>
  </si>
  <si>
    <t>Insulated Rubber Gloves_Status</t>
  </si>
  <si>
    <t>Life Jacket_ID</t>
  </si>
  <si>
    <t>Life Jacket_Last inspection date</t>
  </si>
  <si>
    <t>Life Jacket_Status</t>
  </si>
  <si>
    <t>Head Lamp_ID</t>
  </si>
  <si>
    <t>Head Lamp_Last inspection date</t>
  </si>
  <si>
    <t>Head Lamp_Status</t>
  </si>
  <si>
    <t>Raincoat_ID</t>
  </si>
  <si>
    <t>Raincoat_Last inspection date</t>
  </si>
  <si>
    <t>Raincoat_Status</t>
  </si>
  <si>
    <t>Knee high safety boot_ID</t>
  </si>
  <si>
    <t>Knee high safety boot_Last inspection date</t>
  </si>
  <si>
    <t>Knee high safety boot_Status</t>
  </si>
  <si>
    <t>Eye googles_ID</t>
  </si>
  <si>
    <t>Eye googles_Last inspection date</t>
  </si>
  <si>
    <t>Eye googles_Status</t>
  </si>
  <si>
    <t>Comments</t>
  </si>
  <si>
    <t>Dispose off Item</t>
  </si>
  <si>
    <t>PPE ID</t>
  </si>
  <si>
    <t>Reason of dispose off</t>
  </si>
  <si>
    <t>Disposal Date</t>
  </si>
  <si>
    <t>Usage time</t>
  </si>
  <si>
    <t>New PPE ID</t>
  </si>
  <si>
    <t>New PPE purchase date</t>
  </si>
  <si>
    <t>New PPE issue date</t>
  </si>
  <si>
    <t>Basic PPE</t>
  </si>
  <si>
    <t>SL</t>
  </si>
  <si>
    <t>Employee ID</t>
  </si>
  <si>
    <t>Project</t>
  </si>
  <si>
    <t>Mobile No</t>
  </si>
  <si>
    <t>Zone</t>
  </si>
  <si>
    <t xml:space="preserve"> Sub-Zone</t>
  </si>
  <si>
    <t>Working Area</t>
  </si>
  <si>
    <t>Date of Joining</t>
  </si>
  <si>
    <t>Active Engr.</t>
  </si>
  <si>
    <t>GP</t>
  </si>
  <si>
    <t>Chattogram</t>
  </si>
  <si>
    <t>CXN</t>
  </si>
  <si>
    <t xml:space="preserve">CXN </t>
  </si>
  <si>
    <t>Cumilla</t>
  </si>
  <si>
    <t>Chandina</t>
  </si>
  <si>
    <t>Milon Chandra Roy</t>
  </si>
  <si>
    <t>CGW</t>
  </si>
  <si>
    <t>CGW Metro</t>
  </si>
  <si>
    <t>Feni</t>
  </si>
  <si>
    <t>Md. Ullasur Rahman(Ullas)</t>
  </si>
  <si>
    <t>Power expert</t>
  </si>
  <si>
    <t>Cox's Bazar Patia</t>
  </si>
  <si>
    <t>CTG Central Metro</t>
  </si>
  <si>
    <t>Kazi Monirozzaman</t>
  </si>
  <si>
    <t>CTG West Metro</t>
  </si>
  <si>
    <t>Md.Shahin Alom</t>
  </si>
  <si>
    <t xml:space="preserve"> Rigger </t>
  </si>
  <si>
    <t>Bangla Bazar,Vatirtek</t>
  </si>
  <si>
    <t>Laxmipur Sadar</t>
  </si>
  <si>
    <t>Md. Rakib Ali</t>
  </si>
  <si>
    <t>Md. Abdullah Al shohag</t>
  </si>
  <si>
    <t>Roni Mia</t>
  </si>
  <si>
    <t xml:space="preserve"> Rigger</t>
  </si>
  <si>
    <t>Md. Shajahan</t>
  </si>
  <si>
    <t>Omar Faruque</t>
  </si>
  <si>
    <t>Chandpur Sadar</t>
  </si>
  <si>
    <t>S.M Jahidul Islam</t>
  </si>
  <si>
    <t>Cox's Bazar Metro</t>
  </si>
  <si>
    <t>Zahidul Islam Khan</t>
  </si>
  <si>
    <t>Md. Alauddin Shekh</t>
  </si>
  <si>
    <t>Subot Besky</t>
  </si>
  <si>
    <t>Cumilla Sadar</t>
  </si>
  <si>
    <t xml:space="preserve">Md. Shohidul Islam </t>
  </si>
  <si>
    <t xml:space="preserve"> Khayrul Islam (Limon)</t>
  </si>
  <si>
    <t>Md. Arafat Hasen</t>
  </si>
  <si>
    <t>Laksham</t>
  </si>
  <si>
    <t>Azizur Rahman Shah Fakir</t>
  </si>
  <si>
    <t>Md. Naim Ali</t>
  </si>
  <si>
    <t xml:space="preserve">Md: Elahi Akonda Noyon </t>
  </si>
  <si>
    <t>Md. Rimon Ali</t>
  </si>
  <si>
    <t>Mazarul islam</t>
  </si>
  <si>
    <t>Power techician</t>
  </si>
  <si>
    <t>Baroshalghar</t>
  </si>
  <si>
    <t>Md. Nadim Hossain</t>
  </si>
  <si>
    <t>Cox's Bazar podua</t>
  </si>
  <si>
    <t>Md. Robel miah</t>
  </si>
  <si>
    <t>Antu Das</t>
  </si>
  <si>
    <t>Md.Samim Ahmed</t>
  </si>
  <si>
    <t>Md. Rakibul Islam</t>
  </si>
  <si>
    <t>Senior Technician(DG)</t>
  </si>
  <si>
    <t>Md. Billal Hossain</t>
  </si>
  <si>
    <t>Md. Sumon Hossain</t>
  </si>
  <si>
    <t>Md. Neamot ullah</t>
  </si>
  <si>
    <t>Sunaimuri</t>
  </si>
  <si>
    <t>Jasim Uddin</t>
  </si>
  <si>
    <t>BADOL CHANDRA ROY</t>
  </si>
  <si>
    <t xml:space="preserve">Ramgoti </t>
  </si>
  <si>
    <t>Md. Abdul Razzak,</t>
  </si>
  <si>
    <t>Md. Raihan khan</t>
  </si>
  <si>
    <t>Sayed Habibur Rahman</t>
  </si>
  <si>
    <t xml:space="preserve">Kaliapara </t>
  </si>
  <si>
    <t>Solar Technician</t>
  </si>
  <si>
    <t>Md.Rasel Rana</t>
  </si>
  <si>
    <t>Md. Mabud Hossain</t>
  </si>
  <si>
    <t>CTG Central Hathazari</t>
  </si>
  <si>
    <t>Md. Rubel Hossain</t>
  </si>
  <si>
    <t>CTG West Sandwip</t>
  </si>
  <si>
    <t>Hatiya</t>
  </si>
  <si>
    <t>Bangodda</t>
  </si>
  <si>
    <t>Md. Al- Amin Hossain</t>
  </si>
  <si>
    <t>Cox's Bazar Chokoria</t>
  </si>
  <si>
    <t>Hand Gloves
(Netwrk Site)</t>
  </si>
  <si>
    <t>Hand Gloves
_ID</t>
  </si>
  <si>
    <t xml:space="preserve">Purchase Date_Hand Gloves
</t>
  </si>
  <si>
    <t xml:space="preserve">Issue Date_Hand Gloves
</t>
  </si>
  <si>
    <t>Hand Gloves
_Last inspection date</t>
  </si>
  <si>
    <t>Hand Gloves
_Status</t>
  </si>
  <si>
    <t>CGC</t>
  </si>
  <si>
    <t>CXS</t>
  </si>
  <si>
    <t>Good</t>
  </si>
  <si>
    <t>Faulty</t>
  </si>
  <si>
    <t>CM-H-01</t>
  </si>
  <si>
    <t>CM-H-02</t>
  </si>
  <si>
    <t>CM-H-04</t>
  </si>
  <si>
    <t>CM-H-05</t>
  </si>
  <si>
    <t>CM-H-03</t>
  </si>
  <si>
    <t>CM-H-07</t>
  </si>
  <si>
    <t>CM-H-08</t>
  </si>
  <si>
    <t>CM-H-09</t>
  </si>
  <si>
    <t>CM-SS-01</t>
  </si>
  <si>
    <t>CM-SS-02</t>
  </si>
  <si>
    <t>CM-SS-03</t>
  </si>
  <si>
    <t>CM-SS-04</t>
  </si>
  <si>
    <t>CM-SS-05</t>
  </si>
  <si>
    <t>CM-SS-06</t>
  </si>
  <si>
    <t>CM-SS-07</t>
  </si>
  <si>
    <t>CM-SS-08</t>
  </si>
  <si>
    <t>CM-SS-09</t>
  </si>
  <si>
    <t>CM-SS-10</t>
  </si>
  <si>
    <t>CM-SS-11</t>
  </si>
  <si>
    <t>CM-SS-12</t>
  </si>
  <si>
    <t>CM-SS-13</t>
  </si>
  <si>
    <t>Missing</t>
  </si>
  <si>
    <t>CM-SV-01</t>
  </si>
  <si>
    <t>CM-SV-02</t>
  </si>
  <si>
    <t>CM-SV-13</t>
  </si>
  <si>
    <t>CM-SV-04</t>
  </si>
  <si>
    <t>CM-SV-05</t>
  </si>
  <si>
    <t>CM-SV-06</t>
  </si>
  <si>
    <t>CM-SV-07</t>
  </si>
  <si>
    <t>CM-SV-03</t>
  </si>
  <si>
    <t>CM-SV-08</t>
  </si>
  <si>
    <t>CM-SV-09</t>
  </si>
  <si>
    <t>CM-SV-11</t>
  </si>
  <si>
    <t>CM-SV-12</t>
  </si>
  <si>
    <t>CM-CH-01</t>
  </si>
  <si>
    <t>CM-CH-02</t>
  </si>
  <si>
    <t>CM-CH-03</t>
  </si>
  <si>
    <t>CM-FH-01</t>
  </si>
  <si>
    <t>CM-FH-02</t>
  </si>
  <si>
    <t>CM-FH-03</t>
  </si>
  <si>
    <t>CM-SL-01</t>
  </si>
  <si>
    <t>CM-SL-02</t>
  </si>
  <si>
    <t>CM-SL-03</t>
  </si>
  <si>
    <t>CM-YL-01</t>
  </si>
  <si>
    <t>CM-YL-02</t>
  </si>
  <si>
    <t>CM-YL-03</t>
  </si>
  <si>
    <t>CM-CB-01</t>
  </si>
  <si>
    <t>CM-CB-02</t>
  </si>
  <si>
    <t>CM-CB-03</t>
  </si>
  <si>
    <t>CM-HG-01</t>
  </si>
  <si>
    <t>CM-HG-02</t>
  </si>
  <si>
    <t>CM-HG-03</t>
  </si>
  <si>
    <t>CM-LG-01</t>
  </si>
  <si>
    <t>CM-LG-02</t>
  </si>
  <si>
    <t>CM-LG-03</t>
  </si>
  <si>
    <t>CM-LG-04</t>
  </si>
  <si>
    <t>CM-LG-05</t>
  </si>
  <si>
    <t>CM-LG-06</t>
  </si>
  <si>
    <t>CM-EG-01</t>
  </si>
  <si>
    <t>CM-EG-02</t>
  </si>
  <si>
    <t>CM-EG-03</t>
  </si>
  <si>
    <t>CM-EG-04</t>
  </si>
  <si>
    <t>CM-EG-05</t>
  </si>
  <si>
    <t>CM-LJ-01</t>
  </si>
  <si>
    <t>CM-LJ-02</t>
  </si>
  <si>
    <t>CM-LJ-03</t>
  </si>
  <si>
    <t>CM-LJ-04</t>
  </si>
  <si>
    <t>CM-RC-01</t>
  </si>
  <si>
    <t>CM-RC-02</t>
  </si>
  <si>
    <t>CM-RC-03</t>
  </si>
  <si>
    <t>CM-RC-04</t>
  </si>
  <si>
    <t>CM-RC-05</t>
  </si>
  <si>
    <t>CM-GB-01</t>
  </si>
  <si>
    <t>CN-H-01</t>
  </si>
  <si>
    <t>CN-H-02</t>
  </si>
  <si>
    <t>CN-H-03</t>
  </si>
  <si>
    <t>CN-H-04</t>
  </si>
  <si>
    <t>CN-H-05</t>
  </si>
  <si>
    <t>CN-H-06</t>
  </si>
  <si>
    <t>CN-H-07</t>
  </si>
  <si>
    <t>CN-H-08</t>
  </si>
  <si>
    <t>CN-H-09</t>
  </si>
  <si>
    <t>CN-H-10</t>
  </si>
  <si>
    <t>CN-SS-02</t>
  </si>
  <si>
    <t>CN-SS-03</t>
  </si>
  <si>
    <t>CN-SS-04</t>
  </si>
  <si>
    <t>CN-SS-05</t>
  </si>
  <si>
    <t>CN-SS-06</t>
  </si>
  <si>
    <t>CN-SS-07</t>
  </si>
  <si>
    <t>CN-SS-08</t>
  </si>
  <si>
    <t>CN-SS-09</t>
  </si>
  <si>
    <t>CN-SS-10</t>
  </si>
  <si>
    <t>CN-SV-01</t>
  </si>
  <si>
    <t>CN-SV-02</t>
  </si>
  <si>
    <t>CN-SV-03</t>
  </si>
  <si>
    <t>CN-SV-04</t>
  </si>
  <si>
    <t>CN-SV-05</t>
  </si>
  <si>
    <t>CN-SV-06</t>
  </si>
  <si>
    <t>CN-SV-07</t>
  </si>
  <si>
    <t>CN-SV-08</t>
  </si>
  <si>
    <t>CN-SV-09</t>
  </si>
  <si>
    <t>CN-SV-10</t>
  </si>
  <si>
    <t>CN-CH-01</t>
  </si>
  <si>
    <t>CN-FH-01</t>
  </si>
  <si>
    <t>CN-SL-01</t>
  </si>
  <si>
    <t>CN-YL-01</t>
  </si>
  <si>
    <t>CN-CB-01</t>
  </si>
  <si>
    <t>CN-LG-01</t>
  </si>
  <si>
    <t>CN-LG-02</t>
  </si>
  <si>
    <t>CN-LG-03</t>
  </si>
  <si>
    <t>CN-EG-01</t>
  </si>
  <si>
    <t>CN-EG-02</t>
  </si>
  <si>
    <t>CN-EG-03</t>
  </si>
  <si>
    <t>CN-EG-04</t>
  </si>
  <si>
    <t>CN-EG-05</t>
  </si>
  <si>
    <t>CN-EG-06</t>
  </si>
  <si>
    <t>CN-EG-07</t>
  </si>
  <si>
    <t>CN-RC-01</t>
  </si>
  <si>
    <t>CN-RC-02</t>
  </si>
  <si>
    <t>CN-RC-03</t>
  </si>
  <si>
    <t>CN-RC-04</t>
  </si>
  <si>
    <t>CN-RC-05</t>
  </si>
  <si>
    <t>CN-RC-06</t>
  </si>
  <si>
    <t>CN-RC-07</t>
  </si>
  <si>
    <t>CN-RC-08</t>
  </si>
  <si>
    <t>CN-RC-09</t>
  </si>
  <si>
    <t>CN-RC-10</t>
  </si>
  <si>
    <t>CN-GB-01</t>
  </si>
  <si>
    <t>CN-GB-02</t>
  </si>
  <si>
    <t>CN-GB-03</t>
  </si>
  <si>
    <t>CW-H-01</t>
  </si>
  <si>
    <t>CW-H-11</t>
  </si>
  <si>
    <t>CW-H-02</t>
  </si>
  <si>
    <t>CW-H-03</t>
  </si>
  <si>
    <t>CW-H-04</t>
  </si>
  <si>
    <t>CW-H-05</t>
  </si>
  <si>
    <t>CW-H-06</t>
  </si>
  <si>
    <t>CW-H-07</t>
  </si>
  <si>
    <t>CW-H-08</t>
  </si>
  <si>
    <t>CW-H-09</t>
  </si>
  <si>
    <t>CW-H-10</t>
  </si>
  <si>
    <t>CW-H-12</t>
  </si>
  <si>
    <t>CG-SS-01</t>
  </si>
  <si>
    <t>CW-SS-02</t>
  </si>
  <si>
    <t>CW-SS-03</t>
  </si>
  <si>
    <t>CW-SS-04</t>
  </si>
  <si>
    <t>CW-SS-05</t>
  </si>
  <si>
    <t>CW-SS-06</t>
  </si>
  <si>
    <t>CW-SS-07</t>
  </si>
  <si>
    <t>CW-SS-08</t>
  </si>
  <si>
    <t>CW-SS-09</t>
  </si>
  <si>
    <t>CW-SS-10</t>
  </si>
  <si>
    <t>CW-SS-11</t>
  </si>
  <si>
    <t>CW-SS-12</t>
  </si>
  <si>
    <t>CW-SV-01</t>
  </si>
  <si>
    <t>CW-SV-02</t>
  </si>
  <si>
    <t>CW-SV-03</t>
  </si>
  <si>
    <t>CW-SV-04</t>
  </si>
  <si>
    <t>CW-SV-05</t>
  </si>
  <si>
    <t>CW-SV-06</t>
  </si>
  <si>
    <t>CW-SV-07</t>
  </si>
  <si>
    <t>CW-SV-08</t>
  </si>
  <si>
    <t>CW-SV-09</t>
  </si>
  <si>
    <t>CW-SV-10</t>
  </si>
  <si>
    <t>CW-SV-11</t>
  </si>
  <si>
    <t>CW-SV-12</t>
  </si>
  <si>
    <t>CW-CH-01</t>
  </si>
  <si>
    <t>CW-CH-02</t>
  </si>
  <si>
    <t>CW-CH-03</t>
  </si>
  <si>
    <t>CW-FH-01</t>
  </si>
  <si>
    <t>CW-FH-02</t>
  </si>
  <si>
    <t>CW-FH-03</t>
  </si>
  <si>
    <t>CW-SL-01</t>
  </si>
  <si>
    <t>CW-SL-02</t>
  </si>
  <si>
    <t>CW-SL-03</t>
  </si>
  <si>
    <t>CW-YL-01</t>
  </si>
  <si>
    <t>CW-YL-02</t>
  </si>
  <si>
    <t>CW-YL-03</t>
  </si>
  <si>
    <t>CW-CB-01</t>
  </si>
  <si>
    <t>CW-CB-02</t>
  </si>
  <si>
    <t>CW-CB-03</t>
  </si>
  <si>
    <t>CW-HG-01</t>
  </si>
  <si>
    <t>CW-HG-02</t>
  </si>
  <si>
    <t>CW-HG-03</t>
  </si>
  <si>
    <t>CW-LG-01</t>
  </si>
  <si>
    <t>CW-LG-02</t>
  </si>
  <si>
    <t>CW-LG-03</t>
  </si>
  <si>
    <t>CW-LG-04</t>
  </si>
  <si>
    <t>CW-LG-05</t>
  </si>
  <si>
    <t>CW-LG-06</t>
  </si>
  <si>
    <t>CW-LG-07</t>
  </si>
  <si>
    <t>CW-LG-08</t>
  </si>
  <si>
    <t>CW-LG-09</t>
  </si>
  <si>
    <t>CW-LG-10</t>
  </si>
  <si>
    <t>CW-LG-11</t>
  </si>
  <si>
    <t>CW-LG-12</t>
  </si>
  <si>
    <t>CW-EG-01</t>
  </si>
  <si>
    <t>CW-EG-02</t>
  </si>
  <si>
    <t>CW-EG-03</t>
  </si>
  <si>
    <t>CW-EG-04</t>
  </si>
  <si>
    <t>CW-EG-05</t>
  </si>
  <si>
    <t>CW-EG-06</t>
  </si>
  <si>
    <t>CW-LJ-01</t>
  </si>
  <si>
    <t>CW-LJ-02</t>
  </si>
  <si>
    <t>CW-RC-01</t>
  </si>
  <si>
    <t>CW-RC-11</t>
  </si>
  <si>
    <t>CW-RC-02</t>
  </si>
  <si>
    <t>CW-RC-03</t>
  </si>
  <si>
    <t>CW-RC-04</t>
  </si>
  <si>
    <t>CW-RC-05</t>
  </si>
  <si>
    <t>CW-RC-06</t>
  </si>
  <si>
    <t>CW-RC-07</t>
  </si>
  <si>
    <t>CW-RC-08</t>
  </si>
  <si>
    <t>CW-RC-09</t>
  </si>
  <si>
    <t>CW-RC-10</t>
  </si>
  <si>
    <t>CW-RC-12</t>
  </si>
  <si>
    <t>CG-GB-01</t>
  </si>
  <si>
    <t>CG-GB-02</t>
  </si>
  <si>
    <t>CG-GB-03</t>
  </si>
  <si>
    <t>CG-GB-04</t>
  </si>
  <si>
    <t>Ok</t>
  </si>
  <si>
    <t>CO-H-01</t>
  </si>
  <si>
    <t>CO-H-10</t>
  </si>
  <si>
    <t>CO-H-02</t>
  </si>
  <si>
    <t>CO-H-03</t>
  </si>
  <si>
    <t>CO-H-12</t>
  </si>
  <si>
    <t>CO-H-11</t>
  </si>
  <si>
    <t>CO-H-04</t>
  </si>
  <si>
    <t>CO-H-05</t>
  </si>
  <si>
    <t>CO-H-06</t>
  </si>
  <si>
    <t>CO-H-07</t>
  </si>
  <si>
    <t>CO-H-08</t>
  </si>
  <si>
    <t>CO-H-09</t>
  </si>
  <si>
    <t>CO-SH-01</t>
  </si>
  <si>
    <t>CO-SH-02</t>
  </si>
  <si>
    <t>CO-SH-03</t>
  </si>
  <si>
    <t>CO-SH-04</t>
  </si>
  <si>
    <t>CO-SH-05</t>
  </si>
  <si>
    <t>CO-SH-06</t>
  </si>
  <si>
    <t>CO-SH-07</t>
  </si>
  <si>
    <t>CO-SH-08</t>
  </si>
  <si>
    <t>CO-SH-09</t>
  </si>
  <si>
    <t>CO-SH-10</t>
  </si>
  <si>
    <t>CO-SH-11</t>
  </si>
  <si>
    <t>CO-SH-12</t>
  </si>
  <si>
    <t>CO-SH-13</t>
  </si>
  <si>
    <t>CO-SH-14</t>
  </si>
  <si>
    <t>CO-SH-15</t>
  </si>
  <si>
    <t>OK</t>
  </si>
  <si>
    <t>CO-SV-01</t>
  </si>
  <si>
    <t>CO-SV-10</t>
  </si>
  <si>
    <t>CO-SV-02</t>
  </si>
  <si>
    <t>CO-SV-03</t>
  </si>
  <si>
    <t>CO-SV-04</t>
  </si>
  <si>
    <t>CO-SV-05</t>
  </si>
  <si>
    <t>CO-SV-06</t>
  </si>
  <si>
    <t>CO-SV-07</t>
  </si>
  <si>
    <t>CO-SV-08</t>
  </si>
  <si>
    <t>CO-SV-09</t>
  </si>
  <si>
    <t>CO-SV-11</t>
  </si>
  <si>
    <t>CO-SV-12</t>
  </si>
  <si>
    <t>CO-SV-13</t>
  </si>
  <si>
    <t>CO-SV-14</t>
  </si>
  <si>
    <t>CO-SV-15</t>
  </si>
  <si>
    <t>CO-CH-01</t>
  </si>
  <si>
    <t>CO-CH-02</t>
  </si>
  <si>
    <t>CO-CH-03</t>
  </si>
  <si>
    <t>CO-FH-01</t>
  </si>
  <si>
    <t>CO-FH-02</t>
  </si>
  <si>
    <t>CO-FH-03</t>
  </si>
  <si>
    <t>CO-SL-01</t>
  </si>
  <si>
    <t>CO-SL-02</t>
  </si>
  <si>
    <t>CO-SL-03</t>
  </si>
  <si>
    <t>CO-YL-01</t>
  </si>
  <si>
    <t>CO-YL-02</t>
  </si>
  <si>
    <t>CO-YL-03</t>
  </si>
  <si>
    <t>CO-CB-01</t>
  </si>
  <si>
    <t>CO-CB-02</t>
  </si>
  <si>
    <t>CO-CB-03</t>
  </si>
  <si>
    <t>CO-HG-01</t>
  </si>
  <si>
    <t>CO-HG-02</t>
  </si>
  <si>
    <t>CO-HG-03</t>
  </si>
  <si>
    <t>CO-LG-01</t>
  </si>
  <si>
    <t>CO-LG-02</t>
  </si>
  <si>
    <t>CO-LG-03</t>
  </si>
  <si>
    <t>CO-LG-04</t>
  </si>
  <si>
    <t>CO-LG-05</t>
  </si>
  <si>
    <t>CO-EG-01</t>
  </si>
  <si>
    <t>CO-EG-02</t>
  </si>
  <si>
    <t>CO-EG-03</t>
  </si>
  <si>
    <t>CO-LJ-01</t>
  </si>
  <si>
    <t>CO-LJ-02</t>
  </si>
  <si>
    <t>CO-RC01</t>
  </si>
  <si>
    <t>CO-RC02</t>
  </si>
  <si>
    <t>CO-RC03</t>
  </si>
  <si>
    <t>CO-RC04</t>
  </si>
  <si>
    <t>CO-RC05</t>
  </si>
  <si>
    <t>CO-RC06</t>
  </si>
  <si>
    <t>CO-RC07</t>
  </si>
  <si>
    <t>CO-RC08</t>
  </si>
  <si>
    <t>CO-GB-01</t>
  </si>
  <si>
    <t>CO-GB-02</t>
  </si>
  <si>
    <t>CO-GB-03</t>
  </si>
  <si>
    <t>CO-GB-04</t>
  </si>
  <si>
    <t>CS-H-01</t>
  </si>
  <si>
    <t>CS-H-02</t>
  </si>
  <si>
    <t>CS-H-03</t>
  </si>
  <si>
    <t>CS-H-04</t>
  </si>
  <si>
    <t>CS-H-05</t>
  </si>
  <si>
    <t>CS-H-06</t>
  </si>
  <si>
    <t>CS-H-07</t>
  </si>
  <si>
    <t>CS-H-08</t>
  </si>
  <si>
    <t>CS-H-09</t>
  </si>
  <si>
    <t>CS-SS-01</t>
  </si>
  <si>
    <t>CS-SS-02</t>
  </si>
  <si>
    <t>CS-SS-03</t>
  </si>
  <si>
    <t>CS-SS-04</t>
  </si>
  <si>
    <t>CS-SS-05</t>
  </si>
  <si>
    <t>CS-SS-06</t>
  </si>
  <si>
    <t>CS-SS-07</t>
  </si>
  <si>
    <t>CS-SS-08</t>
  </si>
  <si>
    <t>CS-SV-01</t>
  </si>
  <si>
    <t>CS-SV-02</t>
  </si>
  <si>
    <t>CS-SV-03</t>
  </si>
  <si>
    <t>CS-SV-04</t>
  </si>
  <si>
    <t>CS-SV-05</t>
  </si>
  <si>
    <t>CS-SV-06</t>
  </si>
  <si>
    <t>CS-SV-07</t>
  </si>
  <si>
    <t>CS-SV-08</t>
  </si>
  <si>
    <t>CS-SV-09</t>
  </si>
  <si>
    <t>CS-CH-01</t>
  </si>
  <si>
    <t>CS-CH-02</t>
  </si>
  <si>
    <t>CS-FH-01</t>
  </si>
  <si>
    <t>CS-FH-02</t>
  </si>
  <si>
    <t>CS-SL-01</t>
  </si>
  <si>
    <t>CS-SL-02</t>
  </si>
  <si>
    <t>CS-YL-01</t>
  </si>
  <si>
    <t>CS-YL-02</t>
  </si>
  <si>
    <t>CS-CB-01</t>
  </si>
  <si>
    <t>CS-CB-02</t>
  </si>
  <si>
    <t>CS-HG-01</t>
  </si>
  <si>
    <t>CS-HG-02</t>
  </si>
  <si>
    <t>CS-LG-01</t>
  </si>
  <si>
    <t>CS-LG-02</t>
  </si>
  <si>
    <t>CS-LG-03</t>
  </si>
  <si>
    <t>CS-LG-04</t>
  </si>
  <si>
    <t>CS-LG-05</t>
  </si>
  <si>
    <t>CS-LG-06</t>
  </si>
  <si>
    <t>CS-LG-07</t>
  </si>
  <si>
    <t>CS-LG-08</t>
  </si>
  <si>
    <t>CS-LG-09</t>
  </si>
  <si>
    <t>CS-EG-01</t>
  </si>
  <si>
    <t>CS-EG-02</t>
  </si>
  <si>
    <t>CS-EG-03</t>
  </si>
  <si>
    <t>CS-EG-04</t>
  </si>
  <si>
    <t>CS-EG-05</t>
  </si>
  <si>
    <t>CS-EG-06</t>
  </si>
  <si>
    <t>CS-EG-07</t>
  </si>
  <si>
    <t>CS-EG-08</t>
  </si>
  <si>
    <t>CS-EG-09</t>
  </si>
  <si>
    <t>CS-LJ-01</t>
  </si>
  <si>
    <t>CS-LJ-02</t>
  </si>
  <si>
    <t>CS-LJ-03</t>
  </si>
  <si>
    <t>CS-HL-01</t>
  </si>
  <si>
    <t>CS-HL-02</t>
  </si>
  <si>
    <t>CS-GB-01</t>
  </si>
  <si>
    <t>CS-GB-02</t>
  </si>
  <si>
    <t>CS-GB-03</t>
  </si>
  <si>
    <t>CS-GB-04</t>
  </si>
  <si>
    <t>ok</t>
  </si>
  <si>
    <t>Nok</t>
  </si>
  <si>
    <t>CP-H-01</t>
  </si>
  <si>
    <t>CP-H-02</t>
  </si>
  <si>
    <t>CP-H-03</t>
  </si>
  <si>
    <t>CP-H-04</t>
  </si>
  <si>
    <t>CP-H-05</t>
  </si>
  <si>
    <t>CP-H-06</t>
  </si>
  <si>
    <t>CP-H-07</t>
  </si>
  <si>
    <t>CP-H-08</t>
  </si>
  <si>
    <t>CP-H-09</t>
  </si>
  <si>
    <t>CP-H-10</t>
  </si>
  <si>
    <t>CP-H-11</t>
  </si>
  <si>
    <t>CP-H-12</t>
  </si>
  <si>
    <t>CP-H-13</t>
  </si>
  <si>
    <t>CP-H-14</t>
  </si>
  <si>
    <t>CP-H-15</t>
  </si>
  <si>
    <t>CP-H-16</t>
  </si>
  <si>
    <t>CP-H-17</t>
  </si>
  <si>
    <t>CP-SS-01</t>
  </si>
  <si>
    <t>CP-SS-02</t>
  </si>
  <si>
    <t>CP-SS-03</t>
  </si>
  <si>
    <t>CP-SS-04</t>
  </si>
  <si>
    <t>CP-SS-05</t>
  </si>
  <si>
    <t>CP-SS-06</t>
  </si>
  <si>
    <t>CP-SS-07</t>
  </si>
  <si>
    <t>CP-SS-08</t>
  </si>
  <si>
    <t>CP-SS-09</t>
  </si>
  <si>
    <t>CP-SS-10</t>
  </si>
  <si>
    <t>CP-SS-11</t>
  </si>
  <si>
    <t>CP-SS-12</t>
  </si>
  <si>
    <t>CP-SS-13</t>
  </si>
  <si>
    <t>CP-SS-14</t>
  </si>
  <si>
    <t>CP-SS-15</t>
  </si>
  <si>
    <t>CP-SS-16</t>
  </si>
  <si>
    <t>CP-SS-17</t>
  </si>
  <si>
    <t>CP-SS-18</t>
  </si>
  <si>
    <t>CP-SS-19</t>
  </si>
  <si>
    <t>CP-SS-20</t>
  </si>
  <si>
    <t>CP-SV-01</t>
  </si>
  <si>
    <t>CP-SV-02</t>
  </si>
  <si>
    <t>CP-SV-03</t>
  </si>
  <si>
    <t>CP-SV-04</t>
  </si>
  <si>
    <t>CP-SV-05</t>
  </si>
  <si>
    <t>CP-SV-06</t>
  </si>
  <si>
    <t>CP-SV-07</t>
  </si>
  <si>
    <t>CP-SV-08</t>
  </si>
  <si>
    <t>CP-SV-09</t>
  </si>
  <si>
    <t>CP-SV-10</t>
  </si>
  <si>
    <t>CP-SV-11</t>
  </si>
  <si>
    <t>CP-SV-12</t>
  </si>
  <si>
    <t>CP-SV-13</t>
  </si>
  <si>
    <t>CP-SV-14</t>
  </si>
  <si>
    <t>CP-SV-15</t>
  </si>
  <si>
    <t>CP-SV-16</t>
  </si>
  <si>
    <t>CP-SV-17</t>
  </si>
  <si>
    <t>CP-SV-18</t>
  </si>
  <si>
    <t>CP-SV-19</t>
  </si>
  <si>
    <t>CP-SV-20</t>
  </si>
  <si>
    <t>CP-CH-01</t>
  </si>
  <si>
    <t>CP-CH-02</t>
  </si>
  <si>
    <t>CP-CH-03</t>
  </si>
  <si>
    <t>CP-FH-01</t>
  </si>
  <si>
    <t>CP-FH-02</t>
  </si>
  <si>
    <t>CP-FH-03</t>
  </si>
  <si>
    <t>CP-SL-01</t>
  </si>
  <si>
    <t>CP-SL-02</t>
  </si>
  <si>
    <t>CP-SL-03</t>
  </si>
  <si>
    <t>CP-YL-01</t>
  </si>
  <si>
    <t>CP-YL-02</t>
  </si>
  <si>
    <t>CP-YL-03</t>
  </si>
  <si>
    <t>CP-CB-01</t>
  </si>
  <si>
    <t>CP-CB-02</t>
  </si>
  <si>
    <t>CP-CB-03</t>
  </si>
  <si>
    <t>CP-HG-01</t>
  </si>
  <si>
    <t>CP-HG-02</t>
  </si>
  <si>
    <t>CP-HG-03</t>
  </si>
  <si>
    <t>CP-LG-01</t>
  </si>
  <si>
    <t>CP-LG-02</t>
  </si>
  <si>
    <t>CP-LG-03</t>
  </si>
  <si>
    <t>CP-LG-04</t>
  </si>
  <si>
    <t>CP-LG-05</t>
  </si>
  <si>
    <t>CP-LG-06</t>
  </si>
  <si>
    <t>CP-LG-07</t>
  </si>
  <si>
    <t>CP-LG-08</t>
  </si>
  <si>
    <t>CP-LG-09</t>
  </si>
  <si>
    <t>CP-LG-10</t>
  </si>
  <si>
    <t>CP-LG-11</t>
  </si>
  <si>
    <t>CP-EG-01</t>
  </si>
  <si>
    <t>CP-EG-02</t>
  </si>
  <si>
    <t>CP-EG-03</t>
  </si>
  <si>
    <t>CP-EG-04</t>
  </si>
  <si>
    <t>CP-EG-05</t>
  </si>
  <si>
    <t>CP-EG-06</t>
  </si>
  <si>
    <t>CP-LJ-01</t>
  </si>
  <si>
    <t>CP-LJ-02</t>
  </si>
  <si>
    <t>CP-HL-01</t>
  </si>
  <si>
    <t>CP-HL-02</t>
  </si>
  <si>
    <t>CP-RC-01</t>
  </si>
  <si>
    <t>CP-RC-02</t>
  </si>
  <si>
    <t>CP-RC-03</t>
  </si>
  <si>
    <t>CP-RC-04</t>
  </si>
  <si>
    <t>CP-RC-05</t>
  </si>
  <si>
    <t>CP-RC-06</t>
  </si>
  <si>
    <t>CP-RC-07</t>
  </si>
  <si>
    <t>CP-RC-08</t>
  </si>
  <si>
    <t>CP-RC-09</t>
  </si>
  <si>
    <t>CP-RC-10</t>
  </si>
  <si>
    <t>CP-GB-01</t>
  </si>
  <si>
    <t>CP-GB-02</t>
  </si>
  <si>
    <t>CP-GB-03</t>
  </si>
  <si>
    <t>NN-H-01</t>
  </si>
  <si>
    <t>NN-H-02</t>
  </si>
  <si>
    <t>NN-H-03</t>
  </si>
  <si>
    <t>NN-H-04</t>
  </si>
  <si>
    <t>NN-H-05</t>
  </si>
  <si>
    <t>NN-H-06</t>
  </si>
  <si>
    <t>NN-H-07</t>
  </si>
  <si>
    <t>NN-H-08</t>
  </si>
  <si>
    <t>NN-H-09</t>
  </si>
  <si>
    <t>NN-H-10</t>
  </si>
  <si>
    <t>NN-H-11</t>
  </si>
  <si>
    <t>NN-H-12</t>
  </si>
  <si>
    <t>NN-H-13</t>
  </si>
  <si>
    <t>NN-H-14</t>
  </si>
  <si>
    <t>NN-H-15</t>
  </si>
  <si>
    <t>NN-H-16</t>
  </si>
  <si>
    <t>NN-H-17</t>
  </si>
  <si>
    <t>NN-H-18</t>
  </si>
  <si>
    <t>NN-H-19</t>
  </si>
  <si>
    <t>NN-H-20</t>
  </si>
  <si>
    <t>NN-SS-01</t>
  </si>
  <si>
    <t>NN-SS-11</t>
  </si>
  <si>
    <t>NN-SS-02</t>
  </si>
  <si>
    <t>NN-SS-03</t>
  </si>
  <si>
    <t>NN-SS-04</t>
  </si>
  <si>
    <t>NN-SS-05</t>
  </si>
  <si>
    <t>NN-SS-06</t>
  </si>
  <si>
    <t>NN-SS-07</t>
  </si>
  <si>
    <t>NN-SS-08</t>
  </si>
  <si>
    <t>NN-SS-09</t>
  </si>
  <si>
    <t>NN-SS-10</t>
  </si>
  <si>
    <t>NN-SS-12</t>
  </si>
  <si>
    <t>NN-SS-13</t>
  </si>
  <si>
    <t>NN-SS-14</t>
  </si>
  <si>
    <t>NN-SS-15</t>
  </si>
  <si>
    <t>NN-SS-16</t>
  </si>
  <si>
    <t>NN-SS-17</t>
  </si>
  <si>
    <t>NN-SS-18</t>
  </si>
  <si>
    <t>NN-SS-19</t>
  </si>
  <si>
    <t>NN-SS-20</t>
  </si>
  <si>
    <t>NN-SV-01</t>
  </si>
  <si>
    <t>NN-SV-02</t>
  </si>
  <si>
    <t>NN-SV-03</t>
  </si>
  <si>
    <t>NN-SV-04</t>
  </si>
  <si>
    <t>NN-SV-05</t>
  </si>
  <si>
    <t>NN-SV-06</t>
  </si>
  <si>
    <t>NN-SV-07</t>
  </si>
  <si>
    <t>NN-SV-08</t>
  </si>
  <si>
    <t>NN-SV-09</t>
  </si>
  <si>
    <t>NN-SV-10</t>
  </si>
  <si>
    <t>NN-SV-11</t>
  </si>
  <si>
    <t>NN-SV-12</t>
  </si>
  <si>
    <t>NN-SV-13</t>
  </si>
  <si>
    <t>NN-SV-14</t>
  </si>
  <si>
    <t>NN-SV-15</t>
  </si>
  <si>
    <t>NN-SV-16</t>
  </si>
  <si>
    <t>NN-SV-17</t>
  </si>
  <si>
    <t>NN-SV-18</t>
  </si>
  <si>
    <t>NN-SV-19</t>
  </si>
  <si>
    <t>NN-SV-20</t>
  </si>
  <si>
    <t>NN-CH-01</t>
  </si>
  <si>
    <t>NN-CH-02</t>
  </si>
  <si>
    <t>NN-CH-03</t>
  </si>
  <si>
    <t>NN-CH-04</t>
  </si>
  <si>
    <t>NN-FH-01</t>
  </si>
  <si>
    <t>NN-FH-02</t>
  </si>
  <si>
    <t>NN-FH-03</t>
  </si>
  <si>
    <t>NN-FH-04</t>
  </si>
  <si>
    <t>NN-SL-01</t>
  </si>
  <si>
    <t>NN-SL-02</t>
  </si>
  <si>
    <t>NN-SL-03</t>
  </si>
  <si>
    <t>NN-SL-04</t>
  </si>
  <si>
    <t>NN-YL-01</t>
  </si>
  <si>
    <t>NN-YL-02</t>
  </si>
  <si>
    <t>NN-YL-03</t>
  </si>
  <si>
    <t>NN-YL-04</t>
  </si>
  <si>
    <t>NN-CB-01</t>
  </si>
  <si>
    <t>NN-CB-02</t>
  </si>
  <si>
    <t>NN-CB-03</t>
  </si>
  <si>
    <t>NN-CB-04</t>
  </si>
  <si>
    <t>NN-HG-01</t>
  </si>
  <si>
    <t>NN-HG-02</t>
  </si>
  <si>
    <t>NN-HG-03</t>
  </si>
  <si>
    <t>NN-HG-04</t>
  </si>
  <si>
    <t>NN-LG-01</t>
  </si>
  <si>
    <t>NN-LG-02</t>
  </si>
  <si>
    <t>NN-LG-03</t>
  </si>
  <si>
    <t>NN-LG-04</t>
  </si>
  <si>
    <t>NN-LG-05</t>
  </si>
  <si>
    <t>NN-LG-06</t>
  </si>
  <si>
    <t>NN-LG-07</t>
  </si>
  <si>
    <t>NN-LG-08</t>
  </si>
  <si>
    <t>NN-EG-01</t>
  </si>
  <si>
    <t>NN-EG-02</t>
  </si>
  <si>
    <t>NN-EG-03</t>
  </si>
  <si>
    <t>NN-EG-04</t>
  </si>
  <si>
    <t>NN-EG-05</t>
  </si>
  <si>
    <t>NN-LJ-01</t>
  </si>
  <si>
    <t>NN-LJ-02</t>
  </si>
  <si>
    <t>NN-LJ-03</t>
  </si>
  <si>
    <t>NN-LJ-04</t>
  </si>
  <si>
    <t>NN-RC-01</t>
  </si>
  <si>
    <t>NN-RC-02</t>
  </si>
  <si>
    <t>NN-RC-03</t>
  </si>
  <si>
    <t>NN-RC-04</t>
  </si>
  <si>
    <t>NN-RC-05</t>
  </si>
  <si>
    <t>NN-RC-06</t>
  </si>
  <si>
    <t>NN-RC-07</t>
  </si>
  <si>
    <t>NN-RC-08</t>
  </si>
  <si>
    <t>NN-RC-09</t>
  </si>
  <si>
    <t>NN-RC-10</t>
  </si>
  <si>
    <t>NN-RC-11</t>
  </si>
  <si>
    <t>NN-RC-12</t>
  </si>
  <si>
    <t>NN-GB-01</t>
  </si>
  <si>
    <t>NN-GB-02</t>
  </si>
  <si>
    <t>NN-GB-03</t>
  </si>
  <si>
    <t>NN-GB-04</t>
  </si>
  <si>
    <t>NS-H-01</t>
  </si>
  <si>
    <t>NS-H-10</t>
  </si>
  <si>
    <t>NS-H-02</t>
  </si>
  <si>
    <t>NS-H-12</t>
  </si>
  <si>
    <t>NS-H-03</t>
  </si>
  <si>
    <t>NS-H-13</t>
  </si>
  <si>
    <t>NS-H-04</t>
  </si>
  <si>
    <t>NS-H-05</t>
  </si>
  <si>
    <t>NS-H-06</t>
  </si>
  <si>
    <t>NS-H-07</t>
  </si>
  <si>
    <t>NS-H-08</t>
  </si>
  <si>
    <t>NS-H-09</t>
  </si>
  <si>
    <t>NS-H-11</t>
  </si>
  <si>
    <t>NS-H-14</t>
  </si>
  <si>
    <t>NS-SS-01</t>
  </si>
  <si>
    <t>NS-SS-02</t>
  </si>
  <si>
    <t>NS-SS-03</t>
  </si>
  <si>
    <t>NS-SS-04</t>
  </si>
  <si>
    <t>NS-SS-05</t>
  </si>
  <si>
    <t>NS-SS-06</t>
  </si>
  <si>
    <t>NS-SS-07</t>
  </si>
  <si>
    <t>NS-SS-08</t>
  </si>
  <si>
    <t>NS-SS-09</t>
  </si>
  <si>
    <t>NS-SS-10</t>
  </si>
  <si>
    <t>NS-SS-11</t>
  </si>
  <si>
    <t>NS-SS-12</t>
  </si>
  <si>
    <t>NS-SS-13</t>
  </si>
  <si>
    <t>NS-SS-14</t>
  </si>
  <si>
    <t>NS-SS-15</t>
  </si>
  <si>
    <t>NS-SS-16</t>
  </si>
  <si>
    <t>NS-SS-17</t>
  </si>
  <si>
    <t>NS-SV-01</t>
  </si>
  <si>
    <t>NS-SV-10</t>
  </si>
  <si>
    <t>NS-SV-02</t>
  </si>
  <si>
    <t>NS-SV-03</t>
  </si>
  <si>
    <t>NS-SV-04</t>
  </si>
  <si>
    <t>NS-SV-05</t>
  </si>
  <si>
    <t>NS-SV-06</t>
  </si>
  <si>
    <t>NS-SV-07</t>
  </si>
  <si>
    <t>NS-SV-08</t>
  </si>
  <si>
    <t>NS-SV-09</t>
  </si>
  <si>
    <t>NS-SV-11</t>
  </si>
  <si>
    <t>NS-SV-12</t>
  </si>
  <si>
    <t>NS-SV-13</t>
  </si>
  <si>
    <t>NS-SV-14</t>
  </si>
  <si>
    <t>NS-SV-15</t>
  </si>
  <si>
    <t>NS-SV-16</t>
  </si>
  <si>
    <t>NS-SV-17</t>
  </si>
  <si>
    <t>NS-CH-01</t>
  </si>
  <si>
    <t>NS-CH-02</t>
  </si>
  <si>
    <t>NS-CH-03</t>
  </si>
  <si>
    <t>NS-FH-01</t>
  </si>
  <si>
    <t>NS-FH-02</t>
  </si>
  <si>
    <t>NS-FH-03</t>
  </si>
  <si>
    <t>NS-SL-01</t>
  </si>
  <si>
    <t>NS-SL-02</t>
  </si>
  <si>
    <t>NS-SL-03</t>
  </si>
  <si>
    <t>NS-YL-01</t>
  </si>
  <si>
    <t>NS-YL-02</t>
  </si>
  <si>
    <t>NS-YL-03</t>
  </si>
  <si>
    <t>NS-CB-01</t>
  </si>
  <si>
    <t>NS-CB-02</t>
  </si>
  <si>
    <t>NS-CB-03</t>
  </si>
  <si>
    <t>NS-HG-01</t>
  </si>
  <si>
    <t>NS-HG-02</t>
  </si>
  <si>
    <t>NS-HG-03</t>
  </si>
  <si>
    <t>NS-LG-01</t>
  </si>
  <si>
    <t>NS-LG-02</t>
  </si>
  <si>
    <t>NS-LG-03</t>
  </si>
  <si>
    <t>NS-LG-04</t>
  </si>
  <si>
    <t>NS-LG-05</t>
  </si>
  <si>
    <t>NS-LG-06</t>
  </si>
  <si>
    <t>NS-LG-07</t>
  </si>
  <si>
    <t>NS-LG-08</t>
  </si>
  <si>
    <t>NS-EG-01</t>
  </si>
  <si>
    <t>NS-EG-02</t>
  </si>
  <si>
    <t>NS-EG-03</t>
  </si>
  <si>
    <t>NS-EG-04</t>
  </si>
  <si>
    <t>NS-LJ-01</t>
  </si>
  <si>
    <t>NS-LJ-02</t>
  </si>
  <si>
    <t>NS-LJ-03</t>
  </si>
  <si>
    <t>NS-RC-01</t>
  </si>
  <si>
    <t>NS-RC-02</t>
  </si>
  <si>
    <t>NS-RC-03</t>
  </si>
  <si>
    <t>NS-RC-04</t>
  </si>
  <si>
    <t>NS-RC-05</t>
  </si>
  <si>
    <t>NS-GB-01</t>
  </si>
  <si>
    <t>NS-GB-02</t>
  </si>
  <si>
    <t>NS-GB-03</t>
  </si>
  <si>
    <t>NS-GB-04</t>
  </si>
  <si>
    <t>Transfer Item</t>
  </si>
  <si>
    <t>Transfer to Employee Name/SC</t>
  </si>
  <si>
    <t>Transfer Date</t>
  </si>
  <si>
    <t>CC-H-01</t>
  </si>
  <si>
    <t>CC-H-02</t>
  </si>
  <si>
    <t>CC-H-03</t>
  </si>
  <si>
    <t>CC-H-04</t>
  </si>
  <si>
    <t>CC-H-05</t>
  </si>
  <si>
    <t>CC-H-06</t>
  </si>
  <si>
    <t>CC-H-07</t>
  </si>
  <si>
    <t>CC-H-08</t>
  </si>
  <si>
    <t>CC-H-09</t>
  </si>
  <si>
    <t>CC-H-10</t>
  </si>
  <si>
    <t>CC-H-11</t>
  </si>
  <si>
    <t>CC-H-12</t>
  </si>
  <si>
    <t>CC-H-13</t>
  </si>
  <si>
    <t>CC-H-14</t>
  </si>
  <si>
    <t>CC-SS-01</t>
  </si>
  <si>
    <t>CC-SS-02</t>
  </si>
  <si>
    <t>CC-SS-03</t>
  </si>
  <si>
    <t>CC-SS-04</t>
  </si>
  <si>
    <t>CC-SS-05</t>
  </si>
  <si>
    <t>CC-SS-06</t>
  </si>
  <si>
    <t>CC-SS-07</t>
  </si>
  <si>
    <t>CC-SS-08</t>
  </si>
  <si>
    <t>CC-SS-09</t>
  </si>
  <si>
    <t>CC-SS-11</t>
  </si>
  <si>
    <t>CC-SS-12</t>
  </si>
  <si>
    <t>CC-SS-13</t>
  </si>
  <si>
    <t>CC-SS-14</t>
  </si>
  <si>
    <t>CC-SS-10</t>
  </si>
  <si>
    <t>CC-SV-01</t>
  </si>
  <si>
    <t>CC-SV-02</t>
  </si>
  <si>
    <t>CC-SV-03</t>
  </si>
  <si>
    <t>CC-SV-04</t>
  </si>
  <si>
    <t>CC-SV-05</t>
  </si>
  <si>
    <t>CC-SV-06</t>
  </si>
  <si>
    <t>CC-SV-07</t>
  </si>
  <si>
    <t>CC-SV-08</t>
  </si>
  <si>
    <t>CC-SV-09</t>
  </si>
  <si>
    <t>CC-SV-10</t>
  </si>
  <si>
    <t>CC-SV-11</t>
  </si>
  <si>
    <t>CC-SV-12</t>
  </si>
  <si>
    <t>CC-SV-13</t>
  </si>
  <si>
    <t>CC-SV-14</t>
  </si>
  <si>
    <t>CC-CH-01</t>
  </si>
  <si>
    <t>CC-CH-02</t>
  </si>
  <si>
    <t>CC-CH-03</t>
  </si>
  <si>
    <t>CC-FH-01</t>
  </si>
  <si>
    <t>CC-FH-02</t>
  </si>
  <si>
    <t>CC-FH-03</t>
  </si>
  <si>
    <t>CC-SL-01</t>
  </si>
  <si>
    <t>CC-SL-02</t>
  </si>
  <si>
    <t>CC-SL-03</t>
  </si>
  <si>
    <t>CC-YL-01</t>
  </si>
  <si>
    <t>CC-YL-02</t>
  </si>
  <si>
    <t>CC-YL-03</t>
  </si>
  <si>
    <t>CC-CB-01</t>
  </si>
  <si>
    <t>CC-CB-02</t>
  </si>
  <si>
    <t>CC-CB-03</t>
  </si>
  <si>
    <t>CC-HG-01</t>
  </si>
  <si>
    <t>CC-HG-02</t>
  </si>
  <si>
    <t>CC-HG-03</t>
  </si>
  <si>
    <t>CC-LG-01</t>
  </si>
  <si>
    <t>CC-LG-11</t>
  </si>
  <si>
    <t>CC-LG-02</t>
  </si>
  <si>
    <t>CC-LG-03</t>
  </si>
  <si>
    <t>CC-LG-04</t>
  </si>
  <si>
    <t>CC-LG-05</t>
  </si>
  <si>
    <t>CC-LG-06</t>
  </si>
  <si>
    <t>CC-LG-07</t>
  </si>
  <si>
    <t>CC-LG-08</t>
  </si>
  <si>
    <t>CC-LG-09</t>
  </si>
  <si>
    <t>CC-LG-10</t>
  </si>
  <si>
    <t>CC-LG-12</t>
  </si>
  <si>
    <t>CC-LG-13</t>
  </si>
  <si>
    <t>CC-LG-14</t>
  </si>
  <si>
    <t>CC-EG-01</t>
  </si>
  <si>
    <t>CC-EG-02</t>
  </si>
  <si>
    <t>CC-EG-03</t>
  </si>
  <si>
    <t>CC-EG-04</t>
  </si>
  <si>
    <t>CC-EG-05</t>
  </si>
  <si>
    <t>CC-EG-06</t>
  </si>
  <si>
    <t>CC-EG-07</t>
  </si>
  <si>
    <t>CC-LJ-01</t>
  </si>
  <si>
    <t>CC-RC-01</t>
  </si>
  <si>
    <t>CC-RC-11</t>
  </si>
  <si>
    <t>CC-RC-02</t>
  </si>
  <si>
    <t>CC-RC-03</t>
  </si>
  <si>
    <t>CC-RC-04</t>
  </si>
  <si>
    <t>CC-RC-05</t>
  </si>
  <si>
    <t>CC-RC-06</t>
  </si>
  <si>
    <t>CC-RC-07</t>
  </si>
  <si>
    <t>CC-RC-08</t>
  </si>
  <si>
    <t>CC-RC-09</t>
  </si>
  <si>
    <t>CC-RC-10</t>
  </si>
  <si>
    <t>CC-RC-12</t>
  </si>
  <si>
    <t>CC-RC-13</t>
  </si>
  <si>
    <t>CC-RC-14</t>
  </si>
  <si>
    <t>CC-GB-01</t>
  </si>
  <si>
    <t>CC-GB-02</t>
  </si>
  <si>
    <t>CC-GB-03</t>
  </si>
  <si>
    <t>CC-GB-04</t>
  </si>
  <si>
    <t>Hand Gloves (WAH)</t>
  </si>
  <si>
    <t>Eye googles</t>
  </si>
  <si>
    <t>Total</t>
  </si>
  <si>
    <t>Helmet (Network Site)_Considering 100% people</t>
  </si>
  <si>
    <t>Safety Shoe_Considering 100% people</t>
  </si>
  <si>
    <t>Safety Vest_Considering 100% people</t>
  </si>
  <si>
    <t>Loading Gloves_Considering 100% people</t>
  </si>
  <si>
    <t>Insulated Rubber Gloves_Considering 100% people</t>
  </si>
  <si>
    <t>Raincoat_Considering 100% people</t>
  </si>
  <si>
    <t>Positioning Lanyards_WAH</t>
  </si>
  <si>
    <t>Climbing Helmet_WAH</t>
  </si>
  <si>
    <t>No. of workforce</t>
  </si>
  <si>
    <t>CM-H-10</t>
  </si>
  <si>
    <t>Remarks</t>
  </si>
  <si>
    <t>PN 351 (A)</t>
  </si>
  <si>
    <t>CM-H-06</t>
  </si>
  <si>
    <t>Jahangir Alam</t>
  </si>
  <si>
    <t>Abdul Momin</t>
  </si>
  <si>
    <t>Golap Miah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</si>
</sst>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mmm\-yy;@"/>
    <numFmt numFmtId="165" formatCode="[$-409]d\-mmm\-yy;@"/>
    <numFmt numFmtId="166" formatCode="_([$BDT]\ * #,##0.00_);_([$BDT]\ * \(#,##0.00\);_([$BDT]\ * &quot;-&quot;??_);_(@_)"/>
    <numFmt numFmtId="167" formatCode="_(* #,##0_);_(* \(#,##0\);_(* &quot;-&quot;??_);_(@_)"/>
    <numFmt numFmtId="168" formatCode="[$-409]d\-mmm\-yyyy;@"/>
    <numFmt numFmtId="169" formatCode="[$-409]dd\-mmm\-yy;@"/>
  </numFmts>
  <fonts count="2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0"/>
      <name val="Calibri "/>
    </font>
    <font>
      <sz val="10"/>
      <color theme="1"/>
      <name val="Calibri "/>
    </font>
    <font>
      <sz val="10"/>
      <color rgb="FF000000"/>
      <name val="Calibri 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9"/>
      <name val="Calibri 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 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166" fontId="6" fillId="0" borderId="0">
      <alignment vertical="top"/>
    </xf>
    <xf numFmtId="43" fontId="13" fillId="0" borderId="0" applyFont="0" applyFill="0" applyBorder="0" applyAlignment="0" applyProtection="0"/>
    <xf numFmtId="0" fontId="6" fillId="0" borderId="0"/>
  </cellStyleXfs>
  <cellXfs count="137">
    <xf numFmtId="0" fontId="0" fillId="0" borderId="0" xfId="0"/>
    <xf numFmtId="0" fontId="0" fillId="0" borderId="0" xfId="0" applyAlignment="1">
      <alignment vertical="top"/>
    </xf>
    <xf numFmtId="0" fontId="3" fillId="3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1" quotePrefix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5" fontId="3" fillId="3" borderId="1" xfId="0" applyNumberFormat="1" applyFont="1" applyFill="1" applyBorder="1" applyAlignment="1">
      <alignment horizontal="center" vertical="center"/>
    </xf>
    <xf numFmtId="15" fontId="11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15" fontId="3" fillId="3" borderId="5" xfId="0" applyNumberFormat="1" applyFont="1" applyFill="1" applyBorder="1" applyAlignment="1">
      <alignment horizontal="center" vertical="center"/>
    </xf>
    <xf numFmtId="15" fontId="6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15" fontId="11" fillId="3" borderId="1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167" fontId="15" fillId="10" borderId="1" xfId="4" applyNumberFormat="1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/>
    </xf>
    <xf numFmtId="167" fontId="15" fillId="10" borderId="1" xfId="4" applyNumberFormat="1" applyFont="1" applyFill="1" applyBorder="1" applyAlignment="1">
      <alignment horizontal="center" vertical="center"/>
    </xf>
    <xf numFmtId="0" fontId="15" fillId="10" borderId="1" xfId="4" applyNumberFormat="1" applyFont="1" applyFill="1" applyBorder="1" applyAlignment="1">
      <alignment horizontal="center" vertical="center"/>
    </xf>
    <xf numFmtId="168" fontId="15" fillId="10" borderId="1" xfId="4" applyNumberFormat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6" fillId="0" borderId="1" xfId="0" applyFont="1" applyBorder="1"/>
    <xf numFmtId="0" fontId="18" fillId="3" borderId="1" xfId="0" applyFont="1" applyFill="1" applyBorder="1" applyAlignment="1">
      <alignment horizontal="center" vertical="center"/>
    </xf>
    <xf numFmtId="167" fontId="18" fillId="3" borderId="1" xfId="4" applyNumberFormat="1" applyFont="1" applyFill="1" applyBorder="1" applyAlignment="1">
      <alignment horizontal="center" vertical="center"/>
    </xf>
    <xf numFmtId="0" fontId="18" fillId="3" borderId="1" xfId="4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8" fillId="3" borderId="1" xfId="5" applyFont="1" applyFill="1" applyBorder="1" applyAlignment="1">
      <alignment horizontal="center" vertical="center" wrapText="1"/>
    </xf>
    <xf numFmtId="168" fontId="18" fillId="3" borderId="1" xfId="4" applyNumberFormat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168" fontId="18" fillId="3" borderId="1" xfId="1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/>
    </xf>
    <xf numFmtId="0" fontId="18" fillId="0" borderId="1" xfId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5" fontId="6" fillId="3" borderId="5" xfId="0" applyNumberFormat="1" applyFont="1" applyFill="1" applyBorder="1" applyAlignment="1">
      <alignment horizontal="center" vertical="center"/>
    </xf>
    <xf numFmtId="15" fontId="4" fillId="3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69" fontId="3" fillId="3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9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 vertical="center" wrapText="1"/>
    </xf>
    <xf numFmtId="15" fontId="16" fillId="0" borderId="1" xfId="0" applyNumberFormat="1" applyFont="1" applyBorder="1"/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6">
    <cellStyle name="Comma" xfId="4" builtinId="3"/>
    <cellStyle name="Normal" xfId="0" builtinId="0"/>
    <cellStyle name="Normal 2" xfId="1" xr:uid="{95CEF951-7986-48F9-B87D-7530C4FF4243}"/>
    <cellStyle name="Normal 2 101" xfId="2" xr:uid="{B301A004-08CD-43EB-8ACC-0BE69C9A44F1}"/>
    <cellStyle name="Normal 2 2 2 10" xfId="3" xr:uid="{97C3D971-39DD-4B90-A58B-BD36B4D68F15}"/>
    <cellStyle name="Normal 2 3" xfId="5" xr:uid="{24C17D8C-2025-4591-84D9-D8A37702C02F}"/>
  </cellStyles>
  <dxfs count="10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FFEBB-9303-4DC5-9DD4-B4909DE2895A}">
  <sheetPr filterMode="1"/>
  <dimension ref="A1:EL134"/>
  <sheetViews>
    <sheetView tabSelected="1" zoomScale="90" zoomScaleNormal="9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J6" sqref="BJ6"/>
    </sheetView>
  </sheetViews>
  <sheetFormatPr defaultRowHeight="15"/>
  <cols>
    <col min="1" max="1" width="6.5703125" bestFit="1" customWidth="1"/>
    <col min="2" max="2" width="7.28515625" customWidth="1"/>
    <col min="3" max="3" width="18.7109375" customWidth="1"/>
    <col min="4" max="4" width="13.28515625" bestFit="1" customWidth="1"/>
    <col min="5" max="5" width="19.5703125" bestFit="1" customWidth="1"/>
    <col min="6" max="6" width="14.85546875" bestFit="1" customWidth="1"/>
    <col min="7" max="7" width="11.5703125" bestFit="1" customWidth="1"/>
    <col min="8" max="13" width="10.7109375" customWidth="1"/>
    <col min="14" max="14" width="6.28515625" customWidth="1"/>
    <col min="15" max="15" width="9.85546875" bestFit="1" customWidth="1"/>
    <col min="16" max="16" width="11.42578125" bestFit="1" customWidth="1"/>
    <col min="17" max="17" width="14.5703125" bestFit="1" customWidth="1"/>
    <col min="18" max="18" width="14" bestFit="1" customWidth="1"/>
    <col min="19" max="19" width="9.5703125" customWidth="1"/>
    <col min="20" max="25" width="10.42578125" customWidth="1"/>
    <col min="26" max="27" width="8.85546875" customWidth="1"/>
    <col min="28" max="28" width="13.28515625" bestFit="1" customWidth="1"/>
    <col min="29" max="30" width="13.28515625" customWidth="1"/>
    <col min="31" max="34" width="8.85546875" customWidth="1"/>
    <col min="35" max="35" width="13.28515625" bestFit="1" customWidth="1"/>
    <col min="36" max="36" width="8.85546875" customWidth="1"/>
    <col min="37" max="37" width="7.28515625" customWidth="1"/>
    <col min="38" max="38" width="8.7109375" customWidth="1"/>
    <col min="39" max="39" width="11.28515625" customWidth="1"/>
    <col min="40" max="40" width="11.7109375" customWidth="1"/>
    <col min="41" max="41" width="10.7109375" customWidth="1"/>
    <col min="42" max="45" width="9.5703125" customWidth="1"/>
    <col min="46" max="46" width="14.28515625" bestFit="1" customWidth="1"/>
    <col min="47" max="47" width="9.5703125" customWidth="1"/>
    <col min="48" max="49" width="9.85546875" customWidth="1"/>
    <col min="50" max="51" width="17.28515625" bestFit="1" customWidth="1"/>
    <col min="52" max="58" width="9.85546875" customWidth="1"/>
    <col min="59" max="74" width="10.28515625" customWidth="1"/>
    <col min="75" max="76" width="12.28515625" customWidth="1"/>
    <col min="77" max="86" width="10.28515625" customWidth="1"/>
    <col min="87" max="88" width="8.85546875" customWidth="1"/>
    <col min="89" max="89" width="16.7109375" bestFit="1" customWidth="1"/>
    <col min="90" max="92" width="12.7109375" customWidth="1"/>
    <col min="93" max="94" width="8.85546875" customWidth="1"/>
    <col min="95" max="95" width="12.85546875" bestFit="1" customWidth="1"/>
    <col min="96" max="98" width="12.85546875" customWidth="1"/>
    <col min="99" max="100" width="8.85546875" customWidth="1"/>
    <col min="101" max="101" width="13.28515625" bestFit="1" customWidth="1"/>
    <col min="102" max="102" width="13.28515625" customWidth="1"/>
    <col min="103" max="106" width="8.85546875" customWidth="1"/>
    <col min="107" max="107" width="13.28515625" bestFit="1" customWidth="1"/>
    <col min="108" max="108" width="8.85546875" customWidth="1"/>
    <col min="109" max="110" width="9.28515625" customWidth="1"/>
    <col min="111" max="111" width="15" bestFit="1" customWidth="1"/>
    <col min="112" max="112" width="11.7109375" bestFit="1" customWidth="1"/>
    <col min="113" max="114" width="11.7109375" customWidth="1"/>
    <col min="115" max="120" width="10.28515625" customWidth="1"/>
    <col min="121" max="121" width="8" customWidth="1"/>
    <col min="122" max="122" width="14" customWidth="1"/>
    <col min="123" max="123" width="12.28515625" bestFit="1" customWidth="1"/>
    <col min="124" max="126" width="12.28515625" customWidth="1"/>
    <col min="127" max="139" width="15.42578125" customWidth="1"/>
    <col min="140" max="140" width="11.28515625" customWidth="1"/>
    <col min="142" max="142" width="11.42578125" bestFit="1" customWidth="1"/>
    <col min="145" max="145" width="11" bestFit="1" customWidth="1"/>
  </cols>
  <sheetData>
    <row r="1" spans="1:142">
      <c r="H1" s="27">
        <f>SUBTOTAL(9,H4:H938)</f>
        <v>9</v>
      </c>
      <c r="I1" s="27"/>
      <c r="J1" s="27"/>
      <c r="K1" s="27"/>
      <c r="L1" s="27"/>
      <c r="M1" s="27"/>
      <c r="N1" s="27">
        <f>SUBTOTAL(9,N4:N938)</f>
        <v>13</v>
      </c>
      <c r="O1" s="27"/>
      <c r="P1" s="27"/>
      <c r="Q1" s="27"/>
      <c r="R1" s="27"/>
      <c r="S1" s="27"/>
      <c r="T1" s="27">
        <f>SUBTOTAL(9,T4:T938)</f>
        <v>11</v>
      </c>
      <c r="U1" s="27"/>
      <c r="V1" s="27"/>
      <c r="W1" s="27"/>
      <c r="X1" s="27"/>
      <c r="Y1" s="27"/>
      <c r="Z1" s="27">
        <f>SUBTOTAL(9,Z4:Z938)</f>
        <v>3</v>
      </c>
      <c r="AA1" s="27"/>
      <c r="AB1" s="27"/>
      <c r="AC1" s="27"/>
      <c r="AD1" s="27"/>
      <c r="AK1" s="27">
        <f>SUBTOTAL(9,AK4:AK938)</f>
        <v>3</v>
      </c>
      <c r="AL1" s="27"/>
      <c r="AM1" s="27"/>
      <c r="AN1" s="27"/>
      <c r="AO1" s="27"/>
      <c r="AV1" s="27">
        <f>SUBTOTAL(9,AV4:AV938)</f>
        <v>3</v>
      </c>
      <c r="AW1" s="27"/>
      <c r="AX1" s="27"/>
      <c r="AY1" s="27"/>
      <c r="AZ1" s="27"/>
      <c r="BG1" s="27">
        <f>SUBTOTAL(9,BG4:BG938)</f>
        <v>3</v>
      </c>
      <c r="BH1" s="27"/>
      <c r="BI1" s="27"/>
      <c r="BJ1" s="27"/>
      <c r="BK1" s="27"/>
      <c r="BR1" s="27">
        <f>SUBTOTAL(9,BR4:BR938)</f>
        <v>3</v>
      </c>
      <c r="BS1" s="27"/>
      <c r="BT1" s="27"/>
      <c r="BU1" s="27"/>
      <c r="BV1" s="27"/>
      <c r="CI1" s="27">
        <f>SUBTOTAL(9,CI4:CI938)</f>
        <v>3</v>
      </c>
      <c r="CJ1" s="27"/>
      <c r="CK1" s="27"/>
      <c r="CL1" s="27"/>
      <c r="CM1" s="27"/>
      <c r="CN1" s="27"/>
      <c r="CO1" s="27">
        <f>SUBTOTAL(9,CO4:CO938)</f>
        <v>6</v>
      </c>
      <c r="CP1" s="27"/>
      <c r="CQ1" s="27"/>
      <c r="CR1" s="27"/>
      <c r="CS1" s="27"/>
      <c r="CT1" s="27"/>
      <c r="CU1" s="27">
        <f>SUBTOTAL(9,CU4:CU938)</f>
        <v>6</v>
      </c>
      <c r="CV1" s="27"/>
      <c r="CW1" s="27"/>
      <c r="CX1" s="27"/>
      <c r="DE1" s="27">
        <f>SUBTOTAL(9,DE4:DE938)</f>
        <v>4</v>
      </c>
      <c r="DF1" s="27"/>
      <c r="DG1" s="27"/>
      <c r="DH1" s="27"/>
      <c r="DI1" s="27"/>
      <c r="DJ1" s="27"/>
      <c r="DK1" s="27">
        <f>SUBTOTAL(9,DK4:DK938)</f>
        <v>0</v>
      </c>
      <c r="DL1" s="27"/>
      <c r="DM1" s="27"/>
      <c r="DN1" s="27"/>
      <c r="DO1" s="27"/>
      <c r="DP1" s="27"/>
      <c r="DQ1" s="27">
        <f>SUBTOTAL(9,DQ4:DQ938)</f>
        <v>5</v>
      </c>
      <c r="DR1" s="27"/>
      <c r="DS1" s="27"/>
      <c r="DT1" s="27"/>
      <c r="DU1" s="27"/>
      <c r="DV1" s="27"/>
      <c r="DW1" s="27">
        <f>SUBTOTAL(9,DW4:DW938)</f>
        <v>2</v>
      </c>
      <c r="DX1" s="27"/>
      <c r="DY1" s="27"/>
      <c r="DZ1" s="27"/>
      <c r="EA1" s="27"/>
      <c r="EB1" s="27"/>
      <c r="EC1" s="27">
        <f>SUBTOTAL(9,EC4:EC938)</f>
        <v>0</v>
      </c>
      <c r="ED1" s="27"/>
      <c r="EE1" s="27"/>
      <c r="EF1" s="27">
        <f>SUBTOTAL(9,EF4:EF938)</f>
        <v>0</v>
      </c>
      <c r="EG1" s="27"/>
      <c r="EH1" s="27"/>
      <c r="EI1" s="27"/>
    </row>
    <row r="2" spans="1:142">
      <c r="A2" s="136" t="s">
        <v>146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6"/>
      <c r="BP2" s="136"/>
      <c r="BQ2" s="136"/>
      <c r="BR2" s="136"/>
      <c r="BS2" s="136"/>
      <c r="BT2" s="136"/>
      <c r="BU2" s="136"/>
      <c r="BV2" s="136"/>
      <c r="BW2" s="136"/>
      <c r="BX2" s="136"/>
      <c r="BY2" s="136"/>
      <c r="BZ2" s="136"/>
      <c r="CA2" s="136"/>
      <c r="CB2" s="136"/>
      <c r="CC2" s="136"/>
      <c r="CD2" s="136"/>
      <c r="CE2" s="136"/>
      <c r="CF2" s="136"/>
      <c r="CG2" s="136"/>
      <c r="CH2" s="136"/>
      <c r="CI2" s="136"/>
      <c r="CJ2" s="136"/>
      <c r="CK2" s="136"/>
      <c r="CL2" s="136"/>
      <c r="CM2" s="136"/>
      <c r="CN2" s="136"/>
      <c r="CO2" s="136"/>
      <c r="CP2" s="136"/>
      <c r="CQ2" s="136"/>
      <c r="CR2" s="136"/>
      <c r="CS2" s="136"/>
      <c r="CT2" s="136"/>
      <c r="CU2" s="136"/>
      <c r="CV2" s="136"/>
      <c r="CW2" s="136"/>
      <c r="CX2" s="136"/>
      <c r="CY2" s="136"/>
      <c r="CZ2" s="136"/>
      <c r="DA2" s="136"/>
      <c r="DB2" s="136"/>
      <c r="DC2" s="136"/>
      <c r="DD2" s="136"/>
      <c r="DE2" s="136"/>
      <c r="DF2" s="136"/>
      <c r="DG2" s="136"/>
      <c r="DH2" s="136"/>
      <c r="DI2" s="136"/>
      <c r="DJ2" s="136"/>
      <c r="DK2" s="136"/>
      <c r="DL2" s="136"/>
      <c r="DM2" s="136"/>
      <c r="DN2" s="136"/>
      <c r="DO2" s="136"/>
      <c r="DP2" s="136"/>
      <c r="DQ2" s="136"/>
      <c r="DR2" s="136"/>
      <c r="DS2" s="136"/>
      <c r="DT2" s="136"/>
      <c r="DU2" s="136"/>
      <c r="DV2" s="136"/>
      <c r="DW2" s="136"/>
      <c r="DX2" s="136"/>
      <c r="DY2" s="136"/>
      <c r="DZ2" s="136"/>
      <c r="EA2" s="136"/>
      <c r="EB2" s="136"/>
      <c r="EC2" s="136"/>
      <c r="ED2" s="136"/>
      <c r="EE2" s="136"/>
      <c r="EF2" s="136"/>
      <c r="EG2" s="136"/>
      <c r="EH2" s="136"/>
      <c r="EI2" s="136"/>
    </row>
    <row r="3" spans="1:142" s="1" customFormat="1" ht="72">
      <c r="A3" s="61" t="s">
        <v>0</v>
      </c>
      <c r="B3" s="61" t="s">
        <v>1</v>
      </c>
      <c r="C3" s="61" t="s">
        <v>2</v>
      </c>
      <c r="D3" s="61" t="s">
        <v>3</v>
      </c>
      <c r="E3" s="61" t="s">
        <v>4</v>
      </c>
      <c r="F3" s="61" t="s">
        <v>256</v>
      </c>
      <c r="G3" s="61" t="s">
        <v>141</v>
      </c>
      <c r="H3" s="62" t="s">
        <v>17</v>
      </c>
      <c r="I3" s="62" t="s">
        <v>257</v>
      </c>
      <c r="J3" s="62" t="s">
        <v>239</v>
      </c>
      <c r="K3" s="62" t="s">
        <v>173</v>
      </c>
      <c r="L3" s="62" t="s">
        <v>258</v>
      </c>
      <c r="M3" s="62" t="s">
        <v>259</v>
      </c>
      <c r="N3" s="62" t="s">
        <v>5</v>
      </c>
      <c r="O3" s="62" t="s">
        <v>260</v>
      </c>
      <c r="P3" s="62" t="s">
        <v>240</v>
      </c>
      <c r="Q3" s="62" t="s">
        <v>174</v>
      </c>
      <c r="R3" s="62" t="s">
        <v>261</v>
      </c>
      <c r="S3" s="62" t="s">
        <v>262</v>
      </c>
      <c r="T3" s="62" t="s">
        <v>6</v>
      </c>
      <c r="U3" s="62" t="s">
        <v>263</v>
      </c>
      <c r="V3" s="62" t="s">
        <v>241</v>
      </c>
      <c r="W3" s="62" t="s">
        <v>175</v>
      </c>
      <c r="X3" s="62" t="s">
        <v>264</v>
      </c>
      <c r="Y3" s="62" t="s">
        <v>265</v>
      </c>
      <c r="Z3" s="63" t="s">
        <v>8</v>
      </c>
      <c r="AA3" s="63" t="s">
        <v>266</v>
      </c>
      <c r="AB3" s="63" t="s">
        <v>242</v>
      </c>
      <c r="AC3" s="63" t="s">
        <v>177</v>
      </c>
      <c r="AD3" s="63" t="s">
        <v>176</v>
      </c>
      <c r="AE3" s="63" t="s">
        <v>147</v>
      </c>
      <c r="AF3" s="63" t="s">
        <v>168</v>
      </c>
      <c r="AG3" s="63" t="s">
        <v>148</v>
      </c>
      <c r="AH3" s="63" t="s">
        <v>149</v>
      </c>
      <c r="AI3" s="63" t="s">
        <v>267</v>
      </c>
      <c r="AJ3" s="63" t="s">
        <v>268</v>
      </c>
      <c r="AK3" s="64" t="s">
        <v>7</v>
      </c>
      <c r="AL3" s="64" t="s">
        <v>269</v>
      </c>
      <c r="AM3" s="64" t="s">
        <v>243</v>
      </c>
      <c r="AN3" s="64" t="s">
        <v>178</v>
      </c>
      <c r="AO3" s="64" t="s">
        <v>179</v>
      </c>
      <c r="AP3" s="64" t="s">
        <v>142</v>
      </c>
      <c r="AQ3" s="64" t="s">
        <v>168</v>
      </c>
      <c r="AR3" s="64" t="s">
        <v>150</v>
      </c>
      <c r="AS3" s="64" t="s">
        <v>151</v>
      </c>
      <c r="AT3" s="64" t="s">
        <v>270</v>
      </c>
      <c r="AU3" s="64" t="s">
        <v>271</v>
      </c>
      <c r="AV3" s="65" t="s">
        <v>9</v>
      </c>
      <c r="AW3" s="65" t="s">
        <v>272</v>
      </c>
      <c r="AX3" s="65" t="s">
        <v>244</v>
      </c>
      <c r="AY3" s="65" t="s">
        <v>180</v>
      </c>
      <c r="AZ3" s="65" t="s">
        <v>181</v>
      </c>
      <c r="BA3" s="65" t="s">
        <v>143</v>
      </c>
      <c r="BB3" s="65" t="s">
        <v>168</v>
      </c>
      <c r="BC3" s="65" t="s">
        <v>152</v>
      </c>
      <c r="BD3" s="65" t="s">
        <v>153</v>
      </c>
      <c r="BE3" s="65" t="s">
        <v>273</v>
      </c>
      <c r="BF3" s="65" t="s">
        <v>274</v>
      </c>
      <c r="BG3" s="66" t="s">
        <v>10</v>
      </c>
      <c r="BH3" s="66" t="s">
        <v>275</v>
      </c>
      <c r="BI3" s="66" t="s">
        <v>245</v>
      </c>
      <c r="BJ3" s="66" t="s">
        <v>182</v>
      </c>
      <c r="BK3" s="66" t="s">
        <v>183</v>
      </c>
      <c r="BL3" s="66" t="s">
        <v>144</v>
      </c>
      <c r="BM3" s="66" t="s">
        <v>168</v>
      </c>
      <c r="BN3" s="66" t="s">
        <v>154</v>
      </c>
      <c r="BO3" s="66" t="s">
        <v>155</v>
      </c>
      <c r="BP3" s="66" t="s">
        <v>276</v>
      </c>
      <c r="BQ3" s="66" t="s">
        <v>277</v>
      </c>
      <c r="BR3" s="67" t="s">
        <v>11</v>
      </c>
      <c r="BS3" s="67" t="s">
        <v>278</v>
      </c>
      <c r="BT3" s="67" t="s">
        <v>246</v>
      </c>
      <c r="BU3" s="67" t="s">
        <v>184</v>
      </c>
      <c r="BV3" s="67" t="s">
        <v>185</v>
      </c>
      <c r="BW3" s="67" t="s">
        <v>145</v>
      </c>
      <c r="BX3" s="67" t="s">
        <v>169</v>
      </c>
      <c r="BY3" s="67" t="s">
        <v>156</v>
      </c>
      <c r="BZ3" s="67" t="s">
        <v>157</v>
      </c>
      <c r="CA3" s="67" t="s">
        <v>279</v>
      </c>
      <c r="CB3" s="67" t="s">
        <v>280</v>
      </c>
      <c r="CC3" s="62" t="s">
        <v>396</v>
      </c>
      <c r="CD3" s="62" t="s">
        <v>397</v>
      </c>
      <c r="CE3" s="62" t="s">
        <v>398</v>
      </c>
      <c r="CF3" s="62" t="s">
        <v>399</v>
      </c>
      <c r="CG3" s="62" t="s">
        <v>400</v>
      </c>
      <c r="CH3" s="62" t="s">
        <v>401</v>
      </c>
      <c r="CI3" s="62" t="s">
        <v>19</v>
      </c>
      <c r="CJ3" s="62" t="s">
        <v>281</v>
      </c>
      <c r="CK3" s="62" t="s">
        <v>247</v>
      </c>
      <c r="CL3" s="62" t="s">
        <v>186</v>
      </c>
      <c r="CM3" s="62" t="s">
        <v>282</v>
      </c>
      <c r="CN3" s="62" t="s">
        <v>283</v>
      </c>
      <c r="CO3" s="62" t="s">
        <v>15</v>
      </c>
      <c r="CP3" s="62" t="s">
        <v>284</v>
      </c>
      <c r="CQ3" s="62" t="s">
        <v>248</v>
      </c>
      <c r="CR3" s="62" t="s">
        <v>187</v>
      </c>
      <c r="CS3" s="62" t="s">
        <v>285</v>
      </c>
      <c r="CT3" s="62" t="s">
        <v>286</v>
      </c>
      <c r="CU3" s="68" t="s">
        <v>12</v>
      </c>
      <c r="CV3" s="68" t="s">
        <v>287</v>
      </c>
      <c r="CW3" s="68" t="s">
        <v>249</v>
      </c>
      <c r="CX3" s="68" t="s">
        <v>188</v>
      </c>
      <c r="CY3" s="68" t="s">
        <v>158</v>
      </c>
      <c r="CZ3" s="68" t="s">
        <v>168</v>
      </c>
      <c r="DA3" s="68" t="s">
        <v>159</v>
      </c>
      <c r="DB3" s="68" t="s">
        <v>160</v>
      </c>
      <c r="DC3" s="68" t="s">
        <v>288</v>
      </c>
      <c r="DD3" s="68" t="s">
        <v>289</v>
      </c>
      <c r="DE3" s="61" t="s">
        <v>13</v>
      </c>
      <c r="DF3" s="62" t="s">
        <v>290</v>
      </c>
      <c r="DG3" s="62" t="s">
        <v>250</v>
      </c>
      <c r="DH3" s="62" t="s">
        <v>189</v>
      </c>
      <c r="DI3" s="62" t="s">
        <v>291</v>
      </c>
      <c r="DJ3" s="62" t="s">
        <v>292</v>
      </c>
      <c r="DK3" s="61" t="s">
        <v>14</v>
      </c>
      <c r="DL3" s="61" t="s">
        <v>293</v>
      </c>
      <c r="DM3" s="62" t="s">
        <v>251</v>
      </c>
      <c r="DN3" s="62" t="s">
        <v>190</v>
      </c>
      <c r="DO3" s="62" t="s">
        <v>294</v>
      </c>
      <c r="DP3" s="62" t="s">
        <v>295</v>
      </c>
      <c r="DQ3" s="61" t="s">
        <v>16</v>
      </c>
      <c r="DR3" s="61" t="s">
        <v>296</v>
      </c>
      <c r="DS3" s="62" t="s">
        <v>252</v>
      </c>
      <c r="DT3" s="62" t="s">
        <v>191</v>
      </c>
      <c r="DU3" s="62" t="s">
        <v>297</v>
      </c>
      <c r="DV3" s="62" t="s">
        <v>298</v>
      </c>
      <c r="DW3" s="62" t="s">
        <v>22</v>
      </c>
      <c r="DX3" s="62" t="s">
        <v>299</v>
      </c>
      <c r="DY3" s="62" t="s">
        <v>253</v>
      </c>
      <c r="DZ3" s="62" t="s">
        <v>192</v>
      </c>
      <c r="EA3" s="62" t="s">
        <v>300</v>
      </c>
      <c r="EB3" s="62" t="s">
        <v>301</v>
      </c>
      <c r="EC3" s="62" t="s">
        <v>23</v>
      </c>
      <c r="ED3" s="62" t="s">
        <v>254</v>
      </c>
      <c r="EE3" s="62" t="s">
        <v>193</v>
      </c>
      <c r="EF3" s="62" t="s">
        <v>24</v>
      </c>
      <c r="EG3" s="62" t="s">
        <v>302</v>
      </c>
      <c r="EH3" s="62" t="s">
        <v>255</v>
      </c>
      <c r="EI3" s="62" t="s">
        <v>194</v>
      </c>
      <c r="EJ3" s="70" t="s">
        <v>303</v>
      </c>
      <c r="EK3" s="70" t="s">
        <v>304</v>
      </c>
      <c r="EL3" s="54" t="s">
        <v>305</v>
      </c>
    </row>
    <row r="4" spans="1:142">
      <c r="A4" s="11">
        <v>1</v>
      </c>
      <c r="B4" s="107">
        <v>6644</v>
      </c>
      <c r="C4" s="30" t="s">
        <v>25</v>
      </c>
      <c r="D4" s="30">
        <v>1313088456</v>
      </c>
      <c r="E4" s="31" t="s">
        <v>26</v>
      </c>
      <c r="F4" s="26" t="s">
        <v>171</v>
      </c>
      <c r="G4" s="36" t="s">
        <v>27</v>
      </c>
      <c r="H4" s="31">
        <v>1</v>
      </c>
      <c r="I4" s="31" t="s">
        <v>406</v>
      </c>
      <c r="J4" s="32">
        <f>K4</f>
        <v>45161</v>
      </c>
      <c r="K4" s="32">
        <v>45161</v>
      </c>
      <c r="L4" s="32">
        <v>46051</v>
      </c>
      <c r="M4" s="32" t="s">
        <v>404</v>
      </c>
      <c r="N4" s="31">
        <v>1</v>
      </c>
      <c r="O4" s="31" t="s">
        <v>414</v>
      </c>
      <c r="P4" s="32">
        <f>Q4</f>
        <v>45925</v>
      </c>
      <c r="Q4" s="32">
        <v>45925</v>
      </c>
      <c r="R4" s="32">
        <v>46200</v>
      </c>
      <c r="S4" s="32" t="s">
        <v>404</v>
      </c>
      <c r="T4" s="31">
        <v>1</v>
      </c>
      <c r="U4" s="31" t="s">
        <v>428</v>
      </c>
      <c r="V4" s="32">
        <f>W4</f>
        <v>45161</v>
      </c>
      <c r="W4" s="32">
        <v>45161</v>
      </c>
      <c r="X4" s="32">
        <v>46200</v>
      </c>
      <c r="Y4" s="32" t="s">
        <v>404</v>
      </c>
      <c r="Z4" s="31">
        <v>0</v>
      </c>
      <c r="AA4" s="31"/>
      <c r="AB4" s="31"/>
      <c r="AC4" s="31"/>
      <c r="AD4" s="31"/>
      <c r="AE4" s="31"/>
      <c r="AF4" s="31"/>
      <c r="AG4" s="31"/>
      <c r="AH4" s="31"/>
      <c r="AI4" s="32"/>
      <c r="AJ4" s="31"/>
      <c r="AK4" s="31">
        <v>0</v>
      </c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>
        <v>0</v>
      </c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>
        <v>0</v>
      </c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>
        <v>0</v>
      </c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>
        <v>0</v>
      </c>
      <c r="CJ4" s="31"/>
      <c r="CK4" s="31"/>
      <c r="CL4" s="31"/>
      <c r="CM4" s="31"/>
      <c r="CN4" s="31"/>
      <c r="CO4" s="31">
        <v>0</v>
      </c>
      <c r="CP4" s="31"/>
      <c r="CQ4" s="32"/>
      <c r="CR4" s="32"/>
      <c r="CS4" s="32"/>
      <c r="CT4" s="32"/>
      <c r="CU4" s="31">
        <v>1</v>
      </c>
      <c r="CV4" s="31" t="s">
        <v>464</v>
      </c>
      <c r="CW4" s="32">
        <f>CX4</f>
        <v>45527</v>
      </c>
      <c r="CX4" s="32">
        <v>45527</v>
      </c>
      <c r="CY4" s="33">
        <v>45658</v>
      </c>
      <c r="CZ4" s="34">
        <v>46388</v>
      </c>
      <c r="DA4" s="31" t="s">
        <v>166</v>
      </c>
      <c r="DB4" s="31" t="s">
        <v>167</v>
      </c>
      <c r="DC4" s="32">
        <v>46200</v>
      </c>
      <c r="DD4" s="32" t="s">
        <v>404</v>
      </c>
      <c r="DE4" s="31">
        <v>0</v>
      </c>
      <c r="DF4" s="31"/>
      <c r="DG4" s="31"/>
      <c r="DH4" s="31"/>
      <c r="DI4" s="31"/>
      <c r="DJ4" s="31"/>
      <c r="DK4" s="31">
        <v>0</v>
      </c>
      <c r="DL4" s="31"/>
      <c r="DM4" s="31"/>
      <c r="DN4" s="31"/>
      <c r="DO4" s="31"/>
      <c r="DP4" s="31"/>
      <c r="DQ4" s="31">
        <v>1</v>
      </c>
      <c r="DR4" s="31" t="s">
        <v>473</v>
      </c>
      <c r="DS4" s="32">
        <v>45394</v>
      </c>
      <c r="DT4" s="32">
        <f>DS4</f>
        <v>45394</v>
      </c>
      <c r="DU4" s="32">
        <v>46051</v>
      </c>
      <c r="DV4" s="32" t="s">
        <v>405</v>
      </c>
      <c r="DW4" s="31">
        <v>0</v>
      </c>
      <c r="DX4" s="31"/>
      <c r="DY4" s="31"/>
      <c r="DZ4" s="31"/>
      <c r="EA4" s="31"/>
      <c r="EB4" s="31"/>
      <c r="EC4" s="31">
        <v>0</v>
      </c>
      <c r="ED4" s="31"/>
      <c r="EE4" s="31"/>
      <c r="EF4" s="31">
        <v>0</v>
      </c>
      <c r="EG4" s="31"/>
      <c r="EH4" s="31"/>
      <c r="EI4" s="31"/>
      <c r="EJ4" s="26"/>
      <c r="EK4" s="26"/>
      <c r="EL4" s="26"/>
    </row>
    <row r="5" spans="1:142">
      <c r="A5" s="11">
        <v>2</v>
      </c>
      <c r="B5" s="107">
        <v>6651</v>
      </c>
      <c r="C5" s="30" t="s">
        <v>28</v>
      </c>
      <c r="D5" s="30">
        <v>1313088207</v>
      </c>
      <c r="E5" s="31" t="s">
        <v>26</v>
      </c>
      <c r="F5" s="26" t="s">
        <v>171</v>
      </c>
      <c r="G5" s="36" t="s">
        <v>27</v>
      </c>
      <c r="H5" s="31">
        <v>1</v>
      </c>
      <c r="I5" s="31" t="s">
        <v>407</v>
      </c>
      <c r="J5" s="32">
        <f t="shared" ref="J5:J16" si="0">K5</f>
        <v>45818</v>
      </c>
      <c r="K5" s="32">
        <v>45818</v>
      </c>
      <c r="L5" s="32">
        <v>46051</v>
      </c>
      <c r="M5" s="32" t="s">
        <v>404</v>
      </c>
      <c r="N5" s="31">
        <v>1</v>
      </c>
      <c r="O5" s="31" t="s">
        <v>415</v>
      </c>
      <c r="P5" s="32">
        <f t="shared" ref="P5:P67" si="1">Q5</f>
        <v>45925</v>
      </c>
      <c r="Q5" s="32">
        <v>45925</v>
      </c>
      <c r="R5" s="32">
        <v>46200</v>
      </c>
      <c r="S5" s="32" t="s">
        <v>404</v>
      </c>
      <c r="T5" s="31">
        <v>1</v>
      </c>
      <c r="U5" s="31" t="s">
        <v>429</v>
      </c>
      <c r="V5" s="32">
        <f t="shared" ref="V5:V16" si="2">W5</f>
        <v>45818</v>
      </c>
      <c r="W5" s="32">
        <v>45818</v>
      </c>
      <c r="X5" s="32">
        <v>46200</v>
      </c>
      <c r="Y5" s="32" t="s">
        <v>404</v>
      </c>
      <c r="Z5" s="31">
        <v>0</v>
      </c>
      <c r="AA5" s="31"/>
      <c r="AB5" s="31"/>
      <c r="AC5" s="31"/>
      <c r="AD5" s="31"/>
      <c r="AE5" s="31"/>
      <c r="AF5" s="31"/>
      <c r="AG5" s="31"/>
      <c r="AH5" s="31"/>
      <c r="AI5" s="32"/>
      <c r="AJ5" s="31"/>
      <c r="AK5" s="31">
        <v>0</v>
      </c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>
        <v>0</v>
      </c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>
        <v>0</v>
      </c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>
        <v>0</v>
      </c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>
        <v>0</v>
      </c>
      <c r="CJ5" s="31"/>
      <c r="CK5" s="31"/>
      <c r="CL5" s="32"/>
      <c r="CM5" s="32"/>
      <c r="CN5" s="32"/>
      <c r="CO5" s="31">
        <v>0</v>
      </c>
      <c r="CP5" s="31"/>
      <c r="CQ5" s="32"/>
      <c r="CR5" s="32"/>
      <c r="CS5" s="32"/>
      <c r="CT5" s="32"/>
      <c r="CU5" s="31">
        <v>1</v>
      </c>
      <c r="CV5" s="31"/>
      <c r="CW5" s="32">
        <f t="shared" ref="CW5:CW16" si="3">CX5</f>
        <v>45527</v>
      </c>
      <c r="CX5" s="32">
        <v>45527</v>
      </c>
      <c r="CY5" s="33">
        <v>45658</v>
      </c>
      <c r="CZ5" s="34">
        <v>46388</v>
      </c>
      <c r="DA5" s="31" t="s">
        <v>166</v>
      </c>
      <c r="DB5" s="31" t="s">
        <v>167</v>
      </c>
      <c r="DC5" s="32">
        <v>46200</v>
      </c>
      <c r="DD5" s="32" t="s">
        <v>404</v>
      </c>
      <c r="DE5" s="31">
        <v>1</v>
      </c>
      <c r="DF5" s="31" t="s">
        <v>469</v>
      </c>
      <c r="DG5" s="40">
        <v>45545</v>
      </c>
      <c r="DH5" s="32">
        <f>DG5</f>
        <v>45545</v>
      </c>
      <c r="DI5" s="32">
        <v>46051</v>
      </c>
      <c r="DJ5" s="32" t="s">
        <v>404</v>
      </c>
      <c r="DK5" s="31">
        <v>0</v>
      </c>
      <c r="DL5" s="31"/>
      <c r="DM5" s="31"/>
      <c r="DN5" s="31"/>
      <c r="DO5" s="31"/>
      <c r="DP5" s="31"/>
      <c r="DQ5" s="31">
        <v>1</v>
      </c>
      <c r="DR5" s="31" t="s">
        <v>474</v>
      </c>
      <c r="DS5" s="32">
        <v>45394</v>
      </c>
      <c r="DT5" s="32">
        <f t="shared" ref="DT5:DT67" si="4">DS5</f>
        <v>45394</v>
      </c>
      <c r="DU5" s="32">
        <v>46051</v>
      </c>
      <c r="DV5" s="32" t="s">
        <v>404</v>
      </c>
      <c r="DW5" s="31">
        <v>1</v>
      </c>
      <c r="DX5" s="31" t="s">
        <v>478</v>
      </c>
      <c r="DY5" s="32">
        <v>45527</v>
      </c>
      <c r="DZ5" s="32">
        <f>DY5</f>
        <v>45527</v>
      </c>
      <c r="EA5" s="32">
        <v>46051</v>
      </c>
      <c r="EB5" s="32" t="s">
        <v>404</v>
      </c>
      <c r="EC5" s="31">
        <v>0</v>
      </c>
      <c r="ED5" s="31"/>
      <c r="EE5" s="31"/>
      <c r="EF5" s="31">
        <v>0</v>
      </c>
      <c r="EG5" s="31"/>
      <c r="EH5" s="31"/>
      <c r="EI5" s="31"/>
      <c r="EJ5" s="26"/>
      <c r="EK5" s="26"/>
      <c r="EL5" s="26"/>
    </row>
    <row r="6" spans="1:142">
      <c r="A6" s="11">
        <v>3</v>
      </c>
      <c r="B6" s="108">
        <v>7477</v>
      </c>
      <c r="C6" s="130" t="s">
        <v>29</v>
      </c>
      <c r="D6" s="30">
        <v>1313438669</v>
      </c>
      <c r="E6" s="30" t="s">
        <v>30</v>
      </c>
      <c r="F6" s="26" t="s">
        <v>214</v>
      </c>
      <c r="G6" s="36" t="s">
        <v>27</v>
      </c>
      <c r="H6" s="31">
        <v>0</v>
      </c>
      <c r="I6" s="31"/>
      <c r="J6" s="32"/>
      <c r="K6" s="32"/>
      <c r="L6" s="32"/>
      <c r="M6" s="32"/>
      <c r="N6" s="31">
        <v>1</v>
      </c>
      <c r="O6" s="31" t="s">
        <v>416</v>
      </c>
      <c r="P6" s="32">
        <f t="shared" si="1"/>
        <v>45161</v>
      </c>
      <c r="Q6" s="32">
        <v>45161</v>
      </c>
      <c r="R6" s="32">
        <v>46233</v>
      </c>
      <c r="S6" s="32" t="s">
        <v>427</v>
      </c>
      <c r="T6" s="31">
        <v>1</v>
      </c>
      <c r="U6" s="31" t="s">
        <v>435</v>
      </c>
      <c r="V6" s="32">
        <f t="shared" si="2"/>
        <v>45161</v>
      </c>
      <c r="W6" s="32">
        <v>45161</v>
      </c>
      <c r="X6" s="32">
        <v>46233</v>
      </c>
      <c r="Y6" s="32" t="s">
        <v>404</v>
      </c>
      <c r="Z6" s="36">
        <v>1</v>
      </c>
      <c r="AA6" s="36" t="s">
        <v>440</v>
      </c>
      <c r="AB6" s="32">
        <f t="shared" ref="AB6" si="5">AC6</f>
        <v>45161</v>
      </c>
      <c r="AC6" s="32">
        <v>45161</v>
      </c>
      <c r="AD6" s="36"/>
      <c r="AE6" s="34">
        <v>44887</v>
      </c>
      <c r="AF6" s="22">
        <f>DATE(YEAR(AE6)+5,MONTH(AE6),DAY(AE6))</f>
        <v>46713</v>
      </c>
      <c r="AG6" s="36"/>
      <c r="AH6" s="36" t="s">
        <v>161</v>
      </c>
      <c r="AI6" s="32">
        <v>46233</v>
      </c>
      <c r="AJ6" s="36" t="s">
        <v>404</v>
      </c>
      <c r="AK6" s="31">
        <v>1</v>
      </c>
      <c r="AL6" s="31" t="s">
        <v>443</v>
      </c>
      <c r="AM6" s="32">
        <v>45161</v>
      </c>
      <c r="AN6" s="32">
        <v>45161</v>
      </c>
      <c r="AO6" s="31" t="s">
        <v>195</v>
      </c>
      <c r="AP6" s="34">
        <v>44856</v>
      </c>
      <c r="AQ6" s="34">
        <v>46687</v>
      </c>
      <c r="AR6" s="34" t="s">
        <v>163</v>
      </c>
      <c r="AS6" s="34" t="s">
        <v>162</v>
      </c>
      <c r="AT6" s="32">
        <v>46233</v>
      </c>
      <c r="AU6" s="34" t="s">
        <v>404</v>
      </c>
      <c r="AV6" s="36">
        <v>1</v>
      </c>
      <c r="AW6" s="36" t="s">
        <v>446</v>
      </c>
      <c r="AX6" s="32">
        <v>45161</v>
      </c>
      <c r="AY6" s="32">
        <v>45161</v>
      </c>
      <c r="AZ6" s="36"/>
      <c r="BA6" s="34">
        <v>44703</v>
      </c>
      <c r="BB6" s="34">
        <v>46529</v>
      </c>
      <c r="BC6" s="34" t="s">
        <v>163</v>
      </c>
      <c r="BD6" s="34" t="s">
        <v>1210</v>
      </c>
      <c r="BE6" s="32">
        <v>46233</v>
      </c>
      <c r="BF6" s="34" t="s">
        <v>404</v>
      </c>
      <c r="BG6" s="36">
        <v>1</v>
      </c>
      <c r="BH6" s="36" t="s">
        <v>449</v>
      </c>
      <c r="BI6" s="32">
        <v>45161</v>
      </c>
      <c r="BJ6" s="32">
        <v>45161</v>
      </c>
      <c r="BK6" s="36" t="s">
        <v>196</v>
      </c>
      <c r="BL6" s="34">
        <v>44703</v>
      </c>
      <c r="BM6" s="34">
        <v>46529</v>
      </c>
      <c r="BN6" s="34" t="s">
        <v>163</v>
      </c>
      <c r="BO6" s="34" t="s">
        <v>164</v>
      </c>
      <c r="BP6" s="32">
        <v>46233</v>
      </c>
      <c r="BQ6" s="34" t="s">
        <v>404</v>
      </c>
      <c r="BR6" s="36">
        <v>1</v>
      </c>
      <c r="BS6" s="36" t="s">
        <v>452</v>
      </c>
      <c r="BT6" s="32">
        <v>45161</v>
      </c>
      <c r="BU6" s="32">
        <v>45161</v>
      </c>
      <c r="BV6" s="36"/>
      <c r="BW6" s="35">
        <v>44848</v>
      </c>
      <c r="BX6" s="34">
        <v>46674</v>
      </c>
      <c r="BY6" s="34" t="s">
        <v>163</v>
      </c>
      <c r="BZ6" s="35" t="s">
        <v>165</v>
      </c>
      <c r="CA6" s="32">
        <v>46233</v>
      </c>
      <c r="CB6" s="34" t="s">
        <v>404</v>
      </c>
      <c r="CC6" s="35"/>
      <c r="CD6" s="35"/>
      <c r="CE6" s="35"/>
      <c r="CF6" s="35"/>
      <c r="CG6" s="35"/>
      <c r="CH6" s="35"/>
      <c r="CI6" s="31">
        <v>1</v>
      </c>
      <c r="CJ6" s="31" t="s">
        <v>455</v>
      </c>
      <c r="CK6" s="32">
        <v>45577</v>
      </c>
      <c r="CL6" s="32">
        <v>45577</v>
      </c>
      <c r="CM6" s="32">
        <v>46233</v>
      </c>
      <c r="CN6" s="34" t="s">
        <v>404</v>
      </c>
      <c r="CO6" s="31">
        <v>0</v>
      </c>
      <c r="CP6" s="31"/>
      <c r="CQ6" s="32"/>
      <c r="CR6" s="32"/>
      <c r="CS6" s="32"/>
      <c r="CT6" s="32"/>
      <c r="CU6" s="31">
        <v>0</v>
      </c>
      <c r="CV6" s="31"/>
      <c r="CW6" s="32"/>
      <c r="CX6" s="32"/>
      <c r="CY6" s="33"/>
      <c r="CZ6" s="34"/>
      <c r="DA6" s="31"/>
      <c r="DB6" s="31"/>
      <c r="DC6" s="31"/>
      <c r="DD6" s="31"/>
      <c r="DE6" s="31">
        <v>0</v>
      </c>
      <c r="DF6" s="31"/>
      <c r="DG6" s="40"/>
      <c r="DH6" s="31"/>
      <c r="DI6" s="31"/>
      <c r="DJ6" s="31"/>
      <c r="DK6" s="31">
        <v>0</v>
      </c>
      <c r="DL6" s="31"/>
      <c r="DM6" s="31"/>
      <c r="DN6" s="31"/>
      <c r="DO6" s="31"/>
      <c r="DP6" s="31"/>
      <c r="DQ6" s="31">
        <v>1</v>
      </c>
      <c r="DR6" s="31" t="s">
        <v>475</v>
      </c>
      <c r="DS6" s="32">
        <v>45394</v>
      </c>
      <c r="DT6" s="32">
        <f t="shared" si="4"/>
        <v>45394</v>
      </c>
      <c r="DU6" s="32">
        <v>46233</v>
      </c>
      <c r="DV6" s="32" t="s">
        <v>404</v>
      </c>
      <c r="DW6" s="31">
        <v>0</v>
      </c>
      <c r="DX6" s="31"/>
      <c r="DY6" s="31"/>
      <c r="DZ6" s="31"/>
      <c r="EA6" s="31"/>
      <c r="EB6" s="31"/>
      <c r="EC6" s="31">
        <v>0</v>
      </c>
      <c r="ED6" s="31"/>
      <c r="EE6" s="31"/>
      <c r="EF6" s="31">
        <v>0</v>
      </c>
      <c r="EG6" s="31"/>
      <c r="EH6" s="43"/>
      <c r="EI6" s="43"/>
      <c r="EJ6" s="26"/>
      <c r="EK6" s="26"/>
      <c r="EL6" s="26"/>
    </row>
    <row r="7" spans="1:142">
      <c r="A7" s="11">
        <v>4</v>
      </c>
      <c r="B7" s="104">
        <v>7617</v>
      </c>
      <c r="C7" s="31" t="s">
        <v>31</v>
      </c>
      <c r="D7" s="30">
        <v>1313088262</v>
      </c>
      <c r="E7" s="31" t="s">
        <v>26</v>
      </c>
      <c r="F7" s="26" t="s">
        <v>171</v>
      </c>
      <c r="G7" s="36" t="s">
        <v>27</v>
      </c>
      <c r="H7" s="31">
        <v>1</v>
      </c>
      <c r="I7" s="31" t="s">
        <v>410</v>
      </c>
      <c r="J7" s="32">
        <f t="shared" si="0"/>
        <v>45818</v>
      </c>
      <c r="K7" s="32">
        <v>45818</v>
      </c>
      <c r="L7" s="32">
        <v>46200</v>
      </c>
      <c r="M7" s="32" t="s">
        <v>404</v>
      </c>
      <c r="N7" s="31">
        <v>1</v>
      </c>
      <c r="O7" s="31" t="s">
        <v>417</v>
      </c>
      <c r="P7" s="32">
        <f t="shared" si="1"/>
        <v>45925</v>
      </c>
      <c r="Q7" s="32">
        <v>45925</v>
      </c>
      <c r="R7" s="32">
        <v>46200</v>
      </c>
      <c r="S7" s="32" t="s">
        <v>404</v>
      </c>
      <c r="T7" s="31">
        <v>1</v>
      </c>
      <c r="U7" s="31" t="s">
        <v>431</v>
      </c>
      <c r="V7" s="32">
        <f t="shared" si="2"/>
        <v>45818</v>
      </c>
      <c r="W7" s="32">
        <v>45818</v>
      </c>
      <c r="X7" s="32">
        <v>46200</v>
      </c>
      <c r="Y7" s="32" t="s">
        <v>404</v>
      </c>
      <c r="Z7" s="31">
        <v>0</v>
      </c>
      <c r="AA7" s="31"/>
      <c r="AB7" s="31"/>
      <c r="AC7" s="31"/>
      <c r="AD7" s="31"/>
      <c r="AE7" s="31"/>
      <c r="AF7" s="31"/>
      <c r="AG7" s="31"/>
      <c r="AH7" s="31"/>
      <c r="AI7" s="32"/>
      <c r="AJ7" s="31"/>
      <c r="AK7" s="31">
        <v>0</v>
      </c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>
        <v>0</v>
      </c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>
        <v>0</v>
      </c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>
        <v>0</v>
      </c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>
        <v>0</v>
      </c>
      <c r="CJ7" s="31"/>
      <c r="CK7" s="31"/>
      <c r="CL7" s="31"/>
      <c r="CM7" s="31"/>
      <c r="CN7" s="31"/>
      <c r="CO7" s="31">
        <v>0</v>
      </c>
      <c r="CP7" s="31"/>
      <c r="CQ7" s="32"/>
      <c r="CR7" s="32"/>
      <c r="CS7" s="32"/>
      <c r="CT7" s="32"/>
      <c r="CU7" s="31">
        <v>0</v>
      </c>
      <c r="CV7" s="31"/>
      <c r="CW7" s="32"/>
      <c r="CX7" s="32"/>
      <c r="CY7" s="33"/>
      <c r="CZ7" s="34"/>
      <c r="DA7" s="31"/>
      <c r="DB7" s="31"/>
      <c r="DC7" s="31"/>
      <c r="DD7" s="31"/>
      <c r="DE7" s="31">
        <v>0</v>
      </c>
      <c r="DF7" s="31"/>
      <c r="DG7" s="31"/>
      <c r="DH7" s="31"/>
      <c r="DI7" s="31"/>
      <c r="DJ7" s="31"/>
      <c r="DK7" s="31">
        <v>0</v>
      </c>
      <c r="DL7" s="31"/>
      <c r="DM7" s="31"/>
      <c r="DN7" s="31"/>
      <c r="DO7" s="31"/>
      <c r="DP7" s="31"/>
      <c r="DQ7" s="31">
        <v>1</v>
      </c>
      <c r="DR7" s="31" t="s">
        <v>476</v>
      </c>
      <c r="DS7" s="32">
        <v>45394</v>
      </c>
      <c r="DT7" s="32">
        <f t="shared" si="4"/>
        <v>45394</v>
      </c>
      <c r="DU7" s="32">
        <v>46051</v>
      </c>
      <c r="DV7" s="32" t="s">
        <v>404</v>
      </c>
      <c r="DW7" s="31">
        <v>1</v>
      </c>
      <c r="DX7" s="31" t="s">
        <v>478</v>
      </c>
      <c r="DY7" s="32">
        <v>45527</v>
      </c>
      <c r="DZ7" s="32">
        <f>DY7</f>
        <v>45527</v>
      </c>
      <c r="EA7" s="32">
        <v>46051</v>
      </c>
      <c r="EB7" s="32" t="s">
        <v>404</v>
      </c>
      <c r="EC7" s="31">
        <v>0</v>
      </c>
      <c r="ED7" s="31"/>
      <c r="EE7" s="31"/>
      <c r="EF7" s="31">
        <v>0</v>
      </c>
      <c r="EG7" s="31"/>
      <c r="EH7" s="31"/>
      <c r="EI7" s="31"/>
      <c r="EJ7" s="26"/>
      <c r="EK7" s="26"/>
      <c r="EL7" s="26"/>
    </row>
    <row r="8" spans="1:142">
      <c r="A8" s="11">
        <v>5</v>
      </c>
      <c r="B8" s="104">
        <v>8748</v>
      </c>
      <c r="C8" s="31" t="s">
        <v>32</v>
      </c>
      <c r="D8" s="31">
        <v>1313088492</v>
      </c>
      <c r="E8" s="31" t="s">
        <v>33</v>
      </c>
      <c r="F8" s="26" t="s">
        <v>171</v>
      </c>
      <c r="G8" s="36" t="s">
        <v>27</v>
      </c>
      <c r="H8" s="31">
        <v>1</v>
      </c>
      <c r="I8" s="31" t="s">
        <v>408</v>
      </c>
      <c r="J8" s="32">
        <f t="shared" si="0"/>
        <v>45161</v>
      </c>
      <c r="K8" s="32">
        <v>45161</v>
      </c>
      <c r="L8" s="32">
        <v>46200</v>
      </c>
      <c r="M8" s="32" t="s">
        <v>404</v>
      </c>
      <c r="N8" s="31">
        <v>1</v>
      </c>
      <c r="O8" s="31" t="s">
        <v>418</v>
      </c>
      <c r="P8" s="32">
        <f t="shared" si="1"/>
        <v>45192</v>
      </c>
      <c r="Q8" s="32">
        <v>45192</v>
      </c>
      <c r="R8" s="32">
        <v>46200</v>
      </c>
      <c r="S8" s="32" t="s">
        <v>404</v>
      </c>
      <c r="T8" s="31">
        <v>1</v>
      </c>
      <c r="U8" s="31" t="s">
        <v>432</v>
      </c>
      <c r="V8" s="32">
        <f t="shared" si="2"/>
        <v>45161</v>
      </c>
      <c r="W8" s="32">
        <v>45161</v>
      </c>
      <c r="X8" s="32">
        <v>46200</v>
      </c>
      <c r="Y8" s="32" t="s">
        <v>405</v>
      </c>
      <c r="Z8" s="31">
        <v>0</v>
      </c>
      <c r="AA8" s="31"/>
      <c r="AB8" s="32"/>
      <c r="AC8" s="32"/>
      <c r="AD8" s="31"/>
      <c r="AE8" s="31"/>
      <c r="AF8" s="31"/>
      <c r="AG8" s="31"/>
      <c r="AH8" s="31"/>
      <c r="AI8" s="32"/>
      <c r="AJ8" s="31"/>
      <c r="AK8" s="31">
        <v>0</v>
      </c>
      <c r="AL8" s="31"/>
      <c r="AM8" s="32"/>
      <c r="AN8" s="32"/>
      <c r="AO8" s="31"/>
      <c r="AP8" s="31"/>
      <c r="AQ8" s="31"/>
      <c r="AR8" s="31"/>
      <c r="AS8" s="31"/>
      <c r="AT8" s="31"/>
      <c r="AU8" s="31"/>
      <c r="AV8" s="31">
        <v>0</v>
      </c>
      <c r="AW8" s="31"/>
      <c r="AX8" s="32"/>
      <c r="AY8" s="32"/>
      <c r="AZ8" s="31"/>
      <c r="BA8" s="31"/>
      <c r="BB8" s="31"/>
      <c r="BC8" s="31"/>
      <c r="BD8" s="31"/>
      <c r="BE8" s="31"/>
      <c r="BF8" s="31"/>
      <c r="BG8" s="31">
        <v>0</v>
      </c>
      <c r="BH8" s="31"/>
      <c r="BI8" s="32"/>
      <c r="BJ8" s="32"/>
      <c r="BK8" s="31"/>
      <c r="BL8" s="31"/>
      <c r="BM8" s="31"/>
      <c r="BN8" s="31"/>
      <c r="BO8" s="31"/>
      <c r="BP8" s="31"/>
      <c r="BQ8" s="31"/>
      <c r="BR8" s="31">
        <v>0</v>
      </c>
      <c r="BS8" s="31"/>
      <c r="BT8" s="32"/>
      <c r="BU8" s="32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>
        <v>0</v>
      </c>
      <c r="CJ8" s="31"/>
      <c r="CK8" s="31"/>
      <c r="CL8" s="31"/>
      <c r="CM8" s="31"/>
      <c r="CN8" s="31"/>
      <c r="CO8" s="31">
        <v>1</v>
      </c>
      <c r="CP8" s="31" t="s">
        <v>458</v>
      </c>
      <c r="CQ8" s="32">
        <f t="shared" ref="CQ8:CQ16" si="6">CR8</f>
        <v>45818</v>
      </c>
      <c r="CR8" s="32">
        <v>45818</v>
      </c>
      <c r="CS8" s="32">
        <v>46200</v>
      </c>
      <c r="CT8" s="32" t="s">
        <v>404</v>
      </c>
      <c r="CU8" s="31">
        <v>0</v>
      </c>
      <c r="CV8" s="31"/>
      <c r="CW8" s="32"/>
      <c r="CX8" s="32"/>
      <c r="CY8" s="33"/>
      <c r="CZ8" s="34"/>
      <c r="DA8" s="31"/>
      <c r="DB8" s="31"/>
      <c r="DC8" s="31"/>
      <c r="DD8" s="31"/>
      <c r="DE8" s="31">
        <v>1</v>
      </c>
      <c r="DF8" s="31" t="s">
        <v>470</v>
      </c>
      <c r="DG8" s="40">
        <v>45545</v>
      </c>
      <c r="DH8" s="32">
        <f>DG8</f>
        <v>45545</v>
      </c>
      <c r="DI8" s="32">
        <v>46051</v>
      </c>
      <c r="DJ8" s="32" t="s">
        <v>404</v>
      </c>
      <c r="DK8" s="31">
        <v>0</v>
      </c>
      <c r="DL8" s="31"/>
      <c r="DM8" s="31"/>
      <c r="DN8" s="31"/>
      <c r="DO8" s="31"/>
      <c r="DP8" s="31"/>
      <c r="DQ8" s="31">
        <v>0</v>
      </c>
      <c r="DR8" s="31"/>
      <c r="DS8" s="32"/>
      <c r="DT8" s="32"/>
      <c r="DU8" s="32"/>
      <c r="DV8" s="32"/>
      <c r="DW8" s="31">
        <v>0</v>
      </c>
      <c r="DX8" s="31"/>
      <c r="DY8" s="31"/>
      <c r="DZ8" s="31"/>
      <c r="EA8" s="31"/>
      <c r="EB8" s="31"/>
      <c r="EC8" s="31">
        <v>0</v>
      </c>
      <c r="ED8" s="31"/>
      <c r="EE8" s="31"/>
      <c r="EF8" s="31">
        <v>0</v>
      </c>
      <c r="EG8" s="31"/>
      <c r="EH8" s="43"/>
      <c r="EI8" s="43"/>
      <c r="EJ8" s="26"/>
      <c r="EK8" s="26"/>
      <c r="EL8" s="26"/>
    </row>
    <row r="9" spans="1:142">
      <c r="A9" s="11">
        <v>6</v>
      </c>
      <c r="B9" s="104">
        <v>8870</v>
      </c>
      <c r="C9" s="31" t="s">
        <v>34</v>
      </c>
      <c r="D9" s="31">
        <v>1313088096</v>
      </c>
      <c r="E9" s="30" t="s">
        <v>35</v>
      </c>
      <c r="F9" s="26" t="s">
        <v>171</v>
      </c>
      <c r="G9" s="36" t="s">
        <v>27</v>
      </c>
      <c r="H9" s="31">
        <v>1</v>
      </c>
      <c r="I9" s="31" t="s">
        <v>409</v>
      </c>
      <c r="J9" s="32">
        <f t="shared" si="0"/>
        <v>45161</v>
      </c>
      <c r="K9" s="32">
        <v>45161</v>
      </c>
      <c r="L9" s="32">
        <v>46200</v>
      </c>
      <c r="M9" s="32" t="s">
        <v>405</v>
      </c>
      <c r="N9" s="31">
        <v>1</v>
      </c>
      <c r="O9" s="31" t="s">
        <v>419</v>
      </c>
      <c r="P9" s="32">
        <f t="shared" si="1"/>
        <v>45925</v>
      </c>
      <c r="Q9" s="32">
        <v>45925</v>
      </c>
      <c r="R9" s="32">
        <v>46200</v>
      </c>
      <c r="S9" s="32" t="s">
        <v>404</v>
      </c>
      <c r="T9" s="31">
        <v>1</v>
      </c>
      <c r="U9" s="31" t="s">
        <v>433</v>
      </c>
      <c r="V9" s="32">
        <f t="shared" si="2"/>
        <v>45818</v>
      </c>
      <c r="W9" s="32">
        <v>45818</v>
      </c>
      <c r="X9" s="32">
        <v>46200</v>
      </c>
      <c r="Y9" s="32" t="s">
        <v>404</v>
      </c>
      <c r="Z9" s="31">
        <v>0</v>
      </c>
      <c r="AA9" s="31"/>
      <c r="AB9" s="31"/>
      <c r="AC9" s="31"/>
      <c r="AD9" s="31"/>
      <c r="AE9" s="31"/>
      <c r="AF9" s="31"/>
      <c r="AG9" s="31"/>
      <c r="AH9" s="31"/>
      <c r="AI9" s="32"/>
      <c r="AJ9" s="31"/>
      <c r="AK9" s="31">
        <v>0</v>
      </c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>
        <v>0</v>
      </c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>
        <v>0</v>
      </c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>
        <v>0</v>
      </c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>
        <v>0</v>
      </c>
      <c r="CJ9" s="31"/>
      <c r="CK9" s="31"/>
      <c r="CL9" s="31"/>
      <c r="CM9" s="31"/>
      <c r="CN9" s="31"/>
      <c r="CO9" s="31">
        <v>1</v>
      </c>
      <c r="CP9" s="31" t="s">
        <v>459</v>
      </c>
      <c r="CQ9" s="32">
        <f t="shared" si="6"/>
        <v>45818</v>
      </c>
      <c r="CR9" s="32">
        <v>45818</v>
      </c>
      <c r="CS9" s="32">
        <v>46200</v>
      </c>
      <c r="CT9" s="32" t="s">
        <v>404</v>
      </c>
      <c r="CU9" s="31">
        <v>0</v>
      </c>
      <c r="CV9" s="31"/>
      <c r="CW9" s="32"/>
      <c r="CX9" s="32"/>
      <c r="CY9" s="33"/>
      <c r="CZ9" s="34"/>
      <c r="DA9" s="31"/>
      <c r="DB9" s="31"/>
      <c r="DC9" s="31"/>
      <c r="DD9" s="31"/>
      <c r="DE9" s="31">
        <v>0</v>
      </c>
      <c r="DF9" s="31"/>
      <c r="DG9" s="40"/>
      <c r="DH9" s="31"/>
      <c r="DI9" s="31"/>
      <c r="DJ9" s="31"/>
      <c r="DK9" s="31">
        <v>0</v>
      </c>
      <c r="DL9" s="31"/>
      <c r="DM9" s="31"/>
      <c r="DN9" s="31"/>
      <c r="DO9" s="31"/>
      <c r="DP9" s="31"/>
      <c r="DQ9" s="31">
        <v>0</v>
      </c>
      <c r="DR9" s="31"/>
      <c r="DS9" s="32"/>
      <c r="DT9" s="32"/>
      <c r="DU9" s="32"/>
      <c r="DV9" s="32"/>
      <c r="DW9" s="31">
        <v>0</v>
      </c>
      <c r="DX9" s="31"/>
      <c r="DY9" s="32"/>
      <c r="DZ9" s="32"/>
      <c r="EA9" s="32"/>
      <c r="EB9" s="32"/>
      <c r="EC9" s="31">
        <v>0</v>
      </c>
      <c r="ED9" s="31"/>
      <c r="EE9" s="31"/>
      <c r="EF9" s="31">
        <v>0</v>
      </c>
      <c r="EG9" s="31"/>
      <c r="EH9" s="31"/>
      <c r="EI9" s="31"/>
      <c r="EJ9" s="26"/>
      <c r="EK9" s="26"/>
      <c r="EL9" s="26"/>
    </row>
    <row r="10" spans="1:142">
      <c r="A10" s="11">
        <v>7</v>
      </c>
      <c r="B10" s="104">
        <v>9856</v>
      </c>
      <c r="C10" s="31" t="s">
        <v>36</v>
      </c>
      <c r="D10" s="36">
        <v>1313438513</v>
      </c>
      <c r="E10" s="30" t="s">
        <v>35</v>
      </c>
      <c r="F10" s="26" t="s">
        <v>171</v>
      </c>
      <c r="G10" s="36" t="s">
        <v>27</v>
      </c>
      <c r="H10" s="31">
        <v>1</v>
      </c>
      <c r="I10" s="31" t="s">
        <v>1211</v>
      </c>
      <c r="J10" s="32">
        <f t="shared" si="0"/>
        <v>45818</v>
      </c>
      <c r="K10" s="32">
        <v>45818</v>
      </c>
      <c r="L10" s="32">
        <v>46200</v>
      </c>
      <c r="M10" s="32" t="s">
        <v>405</v>
      </c>
      <c r="N10" s="31">
        <v>1</v>
      </c>
      <c r="O10" s="31" t="s">
        <v>420</v>
      </c>
      <c r="P10" s="32">
        <f t="shared" si="1"/>
        <v>45925</v>
      </c>
      <c r="Q10" s="32">
        <v>45925</v>
      </c>
      <c r="R10" s="32">
        <v>46200</v>
      </c>
      <c r="S10" s="32" t="s">
        <v>404</v>
      </c>
      <c r="T10" s="31">
        <v>1</v>
      </c>
      <c r="U10" s="31" t="s">
        <v>434</v>
      </c>
      <c r="V10" s="32">
        <f t="shared" si="2"/>
        <v>45161</v>
      </c>
      <c r="W10" s="32">
        <v>45161</v>
      </c>
      <c r="X10" s="32">
        <v>46200</v>
      </c>
      <c r="Y10" s="32" t="s">
        <v>404</v>
      </c>
      <c r="Z10" s="31">
        <v>0</v>
      </c>
      <c r="AA10" s="31"/>
      <c r="AB10" s="31"/>
      <c r="AC10" s="31"/>
      <c r="AD10" s="31"/>
      <c r="AE10" s="31"/>
      <c r="AF10" s="31"/>
      <c r="AG10" s="31"/>
      <c r="AH10" s="31"/>
      <c r="AI10" s="32"/>
      <c r="AJ10" s="31"/>
      <c r="AK10" s="31">
        <v>0</v>
      </c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>
        <v>0</v>
      </c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>
        <v>0</v>
      </c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>
        <v>0</v>
      </c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>
        <v>0</v>
      </c>
      <c r="CJ10" s="31"/>
      <c r="CK10" s="31"/>
      <c r="CL10" s="31"/>
      <c r="CM10" s="31"/>
      <c r="CN10" s="31"/>
      <c r="CO10" s="31">
        <v>1</v>
      </c>
      <c r="CP10" s="31" t="s">
        <v>460</v>
      </c>
      <c r="CQ10" s="32">
        <f t="shared" si="6"/>
        <v>45818</v>
      </c>
      <c r="CR10" s="32">
        <v>45818</v>
      </c>
      <c r="CS10" s="32">
        <v>46200</v>
      </c>
      <c r="CT10" s="32" t="s">
        <v>404</v>
      </c>
      <c r="CU10" s="31">
        <v>0</v>
      </c>
      <c r="CV10" s="31"/>
      <c r="CW10" s="32"/>
      <c r="CX10" s="32"/>
      <c r="CY10" s="33"/>
      <c r="CZ10" s="34"/>
      <c r="DA10" s="31"/>
      <c r="DB10" s="31"/>
      <c r="DC10" s="31"/>
      <c r="DD10" s="31"/>
      <c r="DE10" s="31">
        <v>1</v>
      </c>
      <c r="DF10" s="31" t="s">
        <v>471</v>
      </c>
      <c r="DG10" s="40">
        <v>45545</v>
      </c>
      <c r="DH10" s="32">
        <f>DG10</f>
        <v>45545</v>
      </c>
      <c r="DI10" s="32">
        <v>46051</v>
      </c>
      <c r="DJ10" s="32" t="s">
        <v>404</v>
      </c>
      <c r="DK10" s="31">
        <v>0</v>
      </c>
      <c r="DL10" s="31"/>
      <c r="DM10" s="31"/>
      <c r="DN10" s="31"/>
      <c r="DO10" s="31"/>
      <c r="DP10" s="31"/>
      <c r="DQ10" s="31">
        <v>0</v>
      </c>
      <c r="DR10" s="31"/>
      <c r="DS10" s="32"/>
      <c r="DT10" s="32"/>
      <c r="DU10" s="32"/>
      <c r="DV10" s="32"/>
      <c r="DW10" s="31">
        <v>0</v>
      </c>
      <c r="DX10" s="31"/>
      <c r="DY10" s="31"/>
      <c r="DZ10" s="31"/>
      <c r="EA10" s="31"/>
      <c r="EB10" s="31"/>
      <c r="EC10" s="31">
        <v>0</v>
      </c>
      <c r="ED10" s="31"/>
      <c r="EE10" s="31"/>
      <c r="EF10" s="31">
        <v>0</v>
      </c>
      <c r="EG10" s="31"/>
      <c r="EH10" s="31"/>
      <c r="EI10" s="31"/>
      <c r="EJ10" s="26"/>
      <c r="EK10" s="26"/>
      <c r="EL10" s="26"/>
    </row>
    <row r="11" spans="1:142">
      <c r="A11" s="11">
        <v>8</v>
      </c>
      <c r="B11" s="109">
        <v>11553</v>
      </c>
      <c r="C11" s="129" t="s">
        <v>37</v>
      </c>
      <c r="D11" s="31">
        <v>1313088366</v>
      </c>
      <c r="E11" s="30" t="s">
        <v>30</v>
      </c>
      <c r="F11" s="26" t="s">
        <v>214</v>
      </c>
      <c r="G11" s="36" t="s">
        <v>27</v>
      </c>
      <c r="H11" s="31">
        <v>0</v>
      </c>
      <c r="I11" s="31"/>
      <c r="J11" s="32"/>
      <c r="K11" s="32"/>
      <c r="L11" s="32"/>
      <c r="M11" s="32"/>
      <c r="N11" s="31">
        <v>1</v>
      </c>
      <c r="O11" s="31" t="s">
        <v>421</v>
      </c>
      <c r="P11" s="32">
        <f t="shared" si="1"/>
        <v>45161</v>
      </c>
      <c r="Q11" s="32">
        <v>45161</v>
      </c>
      <c r="R11" s="32">
        <v>46233</v>
      </c>
      <c r="S11" s="32" t="s">
        <v>404</v>
      </c>
      <c r="T11" s="31">
        <v>1</v>
      </c>
      <c r="U11" s="31" t="s">
        <v>436</v>
      </c>
      <c r="V11" s="32">
        <f t="shared" si="2"/>
        <v>45818</v>
      </c>
      <c r="W11" s="32">
        <v>45818</v>
      </c>
      <c r="X11" s="32">
        <v>46233</v>
      </c>
      <c r="Y11" s="32" t="s">
        <v>404</v>
      </c>
      <c r="Z11" s="36">
        <v>1</v>
      </c>
      <c r="AA11" s="36" t="s">
        <v>441</v>
      </c>
      <c r="AB11" s="32">
        <f t="shared" ref="AB11:AB12" si="7">AC11</f>
        <v>45161</v>
      </c>
      <c r="AC11" s="32">
        <v>45161</v>
      </c>
      <c r="AD11" s="36"/>
      <c r="AE11" s="34">
        <v>44887</v>
      </c>
      <c r="AF11" s="22">
        <f t="shared" ref="AF11:AF12" si="8">DATE(YEAR(AE11)+5,MONTH(AE11),DAY(AE11))</f>
        <v>46713</v>
      </c>
      <c r="AG11" s="36"/>
      <c r="AH11" s="36" t="s">
        <v>161</v>
      </c>
      <c r="AI11" s="32">
        <v>46233</v>
      </c>
      <c r="AJ11" s="36" t="s">
        <v>404</v>
      </c>
      <c r="AK11" s="31">
        <v>1</v>
      </c>
      <c r="AL11" s="31" t="s">
        <v>444</v>
      </c>
      <c r="AM11" s="39">
        <v>45328</v>
      </c>
      <c r="AN11" s="39">
        <v>45328</v>
      </c>
      <c r="AO11" s="31"/>
      <c r="AP11" s="22">
        <v>45292</v>
      </c>
      <c r="AQ11" s="22">
        <v>47119</v>
      </c>
      <c r="AR11" s="34" t="s">
        <v>202</v>
      </c>
      <c r="AS11" s="34"/>
      <c r="AT11" s="38">
        <v>46233</v>
      </c>
      <c r="AU11" s="34" t="s">
        <v>404</v>
      </c>
      <c r="AV11" s="36">
        <v>1</v>
      </c>
      <c r="AW11" s="36" t="s">
        <v>447</v>
      </c>
      <c r="AX11" s="39">
        <v>45328</v>
      </c>
      <c r="AY11" s="39">
        <v>45328</v>
      </c>
      <c r="AZ11" s="36"/>
      <c r="BA11" s="34"/>
      <c r="BB11" s="34"/>
      <c r="BC11" s="34" t="s">
        <v>202</v>
      </c>
      <c r="BD11" s="34"/>
      <c r="BE11" s="32">
        <v>46233</v>
      </c>
      <c r="BF11" s="34" t="s">
        <v>404</v>
      </c>
      <c r="BG11" s="36">
        <v>1</v>
      </c>
      <c r="BH11" s="36" t="s">
        <v>450</v>
      </c>
      <c r="BI11" s="39">
        <v>45328</v>
      </c>
      <c r="BJ11" s="39">
        <v>45328</v>
      </c>
      <c r="BK11" s="36"/>
      <c r="BL11" s="34"/>
      <c r="BM11" s="34"/>
      <c r="BN11" s="34" t="s">
        <v>202</v>
      </c>
      <c r="BO11" s="34"/>
      <c r="BP11" s="32">
        <v>45503</v>
      </c>
      <c r="BQ11" s="34" t="s">
        <v>404</v>
      </c>
      <c r="BR11" s="36">
        <v>1</v>
      </c>
      <c r="BS11" s="36" t="s">
        <v>453</v>
      </c>
      <c r="BT11" s="39">
        <v>45328</v>
      </c>
      <c r="BU11" s="39">
        <v>45328</v>
      </c>
      <c r="BV11" s="36"/>
      <c r="BW11" s="35"/>
      <c r="BX11" s="34"/>
      <c r="BY11" s="34" t="s">
        <v>202</v>
      </c>
      <c r="BZ11" s="35"/>
      <c r="CA11" s="38">
        <v>46233</v>
      </c>
      <c r="CB11" s="34" t="s">
        <v>404</v>
      </c>
      <c r="CC11" s="35"/>
      <c r="CD11" s="35"/>
      <c r="CE11" s="35"/>
      <c r="CF11" s="35"/>
      <c r="CG11" s="35"/>
      <c r="CH11" s="35"/>
      <c r="CI11" s="31">
        <v>1</v>
      </c>
      <c r="CJ11" s="31" t="s">
        <v>456</v>
      </c>
      <c r="CK11" s="32">
        <v>45577</v>
      </c>
      <c r="CL11" s="32">
        <v>45577</v>
      </c>
      <c r="CM11" s="32">
        <v>46233</v>
      </c>
      <c r="CN11" s="34" t="s">
        <v>404</v>
      </c>
      <c r="CO11" s="31">
        <v>0</v>
      </c>
      <c r="CP11" s="31"/>
      <c r="CQ11" s="32"/>
      <c r="CR11" s="32"/>
      <c r="CS11" s="32"/>
      <c r="CT11" s="32"/>
      <c r="CU11" s="31">
        <v>0</v>
      </c>
      <c r="CV11" s="31"/>
      <c r="CW11" s="32"/>
      <c r="CX11" s="32"/>
      <c r="CY11" s="33"/>
      <c r="CZ11" s="34"/>
      <c r="DA11" s="31"/>
      <c r="DB11" s="31"/>
      <c r="DC11" s="31"/>
      <c r="DD11" s="31"/>
      <c r="DE11" s="31">
        <v>0</v>
      </c>
      <c r="DF11" s="31"/>
      <c r="DG11" s="40"/>
      <c r="DH11" s="31"/>
      <c r="DI11" s="31"/>
      <c r="DJ11" s="31"/>
      <c r="DK11" s="31">
        <v>0</v>
      </c>
      <c r="DL11" s="31"/>
      <c r="DM11" s="31"/>
      <c r="DN11" s="31"/>
      <c r="DO11" s="31"/>
      <c r="DP11" s="31"/>
      <c r="DQ11" s="31">
        <v>0</v>
      </c>
      <c r="DR11" s="31"/>
      <c r="DS11" s="32"/>
      <c r="DT11" s="32"/>
      <c r="DU11" s="32"/>
      <c r="DV11" s="32"/>
      <c r="DW11" s="31">
        <v>0</v>
      </c>
      <c r="DX11" s="31"/>
      <c r="DY11" s="32"/>
      <c r="DZ11" s="32"/>
      <c r="EA11" s="32"/>
      <c r="EB11" s="32"/>
      <c r="EC11" s="31">
        <v>0</v>
      </c>
      <c r="ED11" s="31"/>
      <c r="EE11" s="31"/>
      <c r="EF11" s="31">
        <v>0</v>
      </c>
      <c r="EG11" s="31"/>
      <c r="EH11" s="31"/>
      <c r="EI11" s="31"/>
      <c r="EJ11" s="26"/>
      <c r="EK11" s="26"/>
      <c r="EL11" s="26"/>
    </row>
    <row r="12" spans="1:142">
      <c r="A12" s="11">
        <v>9</v>
      </c>
      <c r="B12" s="110">
        <v>10584</v>
      </c>
      <c r="C12" s="131" t="s">
        <v>38</v>
      </c>
      <c r="D12" s="31">
        <v>1313088340</v>
      </c>
      <c r="E12" s="30" t="s">
        <v>39</v>
      </c>
      <c r="F12" s="26" t="s">
        <v>214</v>
      </c>
      <c r="G12" s="36" t="s">
        <v>27</v>
      </c>
      <c r="H12" s="31">
        <v>0</v>
      </c>
      <c r="I12" s="31"/>
      <c r="J12" s="32"/>
      <c r="K12" s="32"/>
      <c r="L12" s="32"/>
      <c r="M12" s="32"/>
      <c r="N12" s="31">
        <v>1</v>
      </c>
      <c r="O12" s="31" t="s">
        <v>422</v>
      </c>
      <c r="P12" s="32">
        <f t="shared" si="1"/>
        <v>45161</v>
      </c>
      <c r="Q12" s="32">
        <v>45161</v>
      </c>
      <c r="R12" s="32">
        <v>46233</v>
      </c>
      <c r="S12" s="32" t="s">
        <v>404</v>
      </c>
      <c r="T12" s="31">
        <v>1</v>
      </c>
      <c r="U12" s="31" t="s">
        <v>437</v>
      </c>
      <c r="V12" s="32">
        <f t="shared" si="2"/>
        <v>45161</v>
      </c>
      <c r="W12" s="32">
        <v>45161</v>
      </c>
      <c r="X12" s="32">
        <v>46233</v>
      </c>
      <c r="Y12" s="32" t="s">
        <v>405</v>
      </c>
      <c r="Z12" s="36">
        <v>1</v>
      </c>
      <c r="AA12" s="36" t="s">
        <v>442</v>
      </c>
      <c r="AB12" s="32">
        <f t="shared" si="7"/>
        <v>45161</v>
      </c>
      <c r="AC12" s="32">
        <v>45161</v>
      </c>
      <c r="AD12" s="36"/>
      <c r="AE12" s="34">
        <v>44887</v>
      </c>
      <c r="AF12" s="22">
        <f t="shared" si="8"/>
        <v>46713</v>
      </c>
      <c r="AG12" s="36"/>
      <c r="AH12" s="36" t="s">
        <v>161</v>
      </c>
      <c r="AI12" s="32">
        <v>46233</v>
      </c>
      <c r="AJ12" s="36" t="s">
        <v>404</v>
      </c>
      <c r="AK12" s="31">
        <v>1</v>
      </c>
      <c r="AL12" s="31" t="s">
        <v>445</v>
      </c>
      <c r="AM12" s="32">
        <v>45161</v>
      </c>
      <c r="AN12" s="32">
        <v>45161</v>
      </c>
      <c r="AO12" s="31">
        <v>81</v>
      </c>
      <c r="AP12" s="34">
        <v>44856</v>
      </c>
      <c r="AQ12" s="34">
        <v>46687</v>
      </c>
      <c r="AR12" s="34" t="s">
        <v>163</v>
      </c>
      <c r="AS12" s="34" t="s">
        <v>162</v>
      </c>
      <c r="AT12" s="32">
        <v>46233</v>
      </c>
      <c r="AU12" s="34" t="s">
        <v>404</v>
      </c>
      <c r="AV12" s="36">
        <v>1</v>
      </c>
      <c r="AW12" s="36" t="s">
        <v>448</v>
      </c>
      <c r="AX12" s="32">
        <v>45161</v>
      </c>
      <c r="AY12" s="32">
        <v>45161</v>
      </c>
      <c r="AZ12" s="36"/>
      <c r="BA12" s="34">
        <v>44703</v>
      </c>
      <c r="BB12" s="34">
        <v>46529</v>
      </c>
      <c r="BC12" s="34" t="s">
        <v>163</v>
      </c>
      <c r="BD12" s="34" t="s">
        <v>1210</v>
      </c>
      <c r="BE12" s="32">
        <v>46233</v>
      </c>
      <c r="BF12" s="34" t="s">
        <v>404</v>
      </c>
      <c r="BG12" s="36">
        <v>1</v>
      </c>
      <c r="BH12" s="36" t="s">
        <v>451</v>
      </c>
      <c r="BI12" s="32">
        <v>45161</v>
      </c>
      <c r="BJ12" s="32">
        <v>45161</v>
      </c>
      <c r="BK12" s="36">
        <v>63</v>
      </c>
      <c r="BL12" s="34">
        <v>44703</v>
      </c>
      <c r="BM12" s="34">
        <v>46529</v>
      </c>
      <c r="BN12" s="34" t="s">
        <v>163</v>
      </c>
      <c r="BO12" s="34" t="s">
        <v>164</v>
      </c>
      <c r="BP12" s="32">
        <v>46233</v>
      </c>
      <c r="BQ12" s="34" t="s">
        <v>404</v>
      </c>
      <c r="BR12" s="36">
        <v>1</v>
      </c>
      <c r="BS12" s="36" t="s">
        <v>454</v>
      </c>
      <c r="BT12" s="32">
        <v>45161</v>
      </c>
      <c r="BU12" s="32">
        <v>45161</v>
      </c>
      <c r="BV12" s="36"/>
      <c r="BW12" s="35">
        <v>44483</v>
      </c>
      <c r="BX12" s="34">
        <v>46674</v>
      </c>
      <c r="BY12" s="34" t="s">
        <v>163</v>
      </c>
      <c r="BZ12" s="35" t="s">
        <v>165</v>
      </c>
      <c r="CA12" s="32">
        <v>46233</v>
      </c>
      <c r="CB12" s="34" t="s">
        <v>404</v>
      </c>
      <c r="CC12" s="35"/>
      <c r="CD12" s="35"/>
      <c r="CE12" s="35"/>
      <c r="CF12" s="35"/>
      <c r="CG12" s="35"/>
      <c r="CH12" s="35"/>
      <c r="CI12" s="31">
        <v>1</v>
      </c>
      <c r="CJ12" s="31" t="s">
        <v>457</v>
      </c>
      <c r="CK12" s="32">
        <v>45577</v>
      </c>
      <c r="CL12" s="32">
        <v>45577</v>
      </c>
      <c r="CM12" s="32">
        <v>46233</v>
      </c>
      <c r="CN12" s="34" t="s">
        <v>404</v>
      </c>
      <c r="CO12" s="31">
        <v>0</v>
      </c>
      <c r="CP12" s="31"/>
      <c r="CQ12" s="32"/>
      <c r="CR12" s="32"/>
      <c r="CS12" s="32"/>
      <c r="CT12" s="32"/>
      <c r="CU12" s="31">
        <v>1</v>
      </c>
      <c r="CV12" s="31" t="s">
        <v>465</v>
      </c>
      <c r="CW12" s="32">
        <f t="shared" si="3"/>
        <v>45818</v>
      </c>
      <c r="CX12" s="32">
        <v>45818</v>
      </c>
      <c r="CY12" s="33">
        <v>45658</v>
      </c>
      <c r="CZ12" s="34">
        <v>46388</v>
      </c>
      <c r="DA12" s="31" t="s">
        <v>166</v>
      </c>
      <c r="DB12" s="31" t="s">
        <v>167</v>
      </c>
      <c r="DC12" s="32">
        <v>46233</v>
      </c>
      <c r="DD12" s="32" t="s">
        <v>404</v>
      </c>
      <c r="DE12" s="31">
        <v>0</v>
      </c>
      <c r="DF12" s="31"/>
      <c r="DG12" s="31"/>
      <c r="DH12" s="31"/>
      <c r="DI12" s="31"/>
      <c r="DJ12" s="31"/>
      <c r="DK12" s="31">
        <v>0</v>
      </c>
      <c r="DL12" s="31"/>
      <c r="DM12" s="31"/>
      <c r="DN12" s="31"/>
      <c r="DO12" s="31"/>
      <c r="DP12" s="31"/>
      <c r="DQ12" s="31">
        <v>0</v>
      </c>
      <c r="DR12" s="31"/>
      <c r="DS12" s="32"/>
      <c r="DT12" s="32"/>
      <c r="DU12" s="32"/>
      <c r="DV12" s="32"/>
      <c r="DW12" s="31">
        <v>0</v>
      </c>
      <c r="DX12" s="31"/>
      <c r="DY12" s="31"/>
      <c r="DZ12" s="31"/>
      <c r="EA12" s="31"/>
      <c r="EB12" s="31"/>
      <c r="EC12" s="31">
        <v>0</v>
      </c>
      <c r="ED12" s="31"/>
      <c r="EE12" s="31"/>
      <c r="EF12" s="31">
        <v>0</v>
      </c>
      <c r="EG12" s="31"/>
      <c r="EH12" s="31"/>
      <c r="EI12" s="31"/>
      <c r="EJ12" s="26"/>
      <c r="EK12" s="26"/>
      <c r="EL12" s="26"/>
    </row>
    <row r="13" spans="1:142">
      <c r="A13" s="11">
        <v>10</v>
      </c>
      <c r="B13" s="104">
        <v>11837</v>
      </c>
      <c r="C13" s="36" t="s">
        <v>358</v>
      </c>
      <c r="D13" s="36">
        <v>1313438618</v>
      </c>
      <c r="E13" s="30" t="s">
        <v>40</v>
      </c>
      <c r="F13" s="26" t="s">
        <v>171</v>
      </c>
      <c r="G13" s="36" t="s">
        <v>27</v>
      </c>
      <c r="H13" s="31">
        <v>1</v>
      </c>
      <c r="I13" s="31" t="s">
        <v>411</v>
      </c>
      <c r="J13" s="32">
        <f t="shared" si="0"/>
        <v>45818</v>
      </c>
      <c r="K13" s="32">
        <v>45818</v>
      </c>
      <c r="L13" s="32">
        <v>46200</v>
      </c>
      <c r="M13" s="32" t="s">
        <v>404</v>
      </c>
      <c r="N13" s="31">
        <v>1</v>
      </c>
      <c r="O13" s="31" t="s">
        <v>423</v>
      </c>
      <c r="P13" s="32">
        <f t="shared" si="1"/>
        <v>45161</v>
      </c>
      <c r="Q13" s="32">
        <v>45161</v>
      </c>
      <c r="R13" s="32">
        <v>46200</v>
      </c>
      <c r="S13" s="32" t="s">
        <v>404</v>
      </c>
      <c r="T13" s="31">
        <v>0</v>
      </c>
      <c r="U13" s="31"/>
      <c r="V13" s="32"/>
      <c r="W13" s="32"/>
      <c r="X13" s="32">
        <v>46200</v>
      </c>
      <c r="Y13" s="32"/>
      <c r="Z13" s="31">
        <v>0</v>
      </c>
      <c r="AA13" s="31"/>
      <c r="AB13" s="32"/>
      <c r="AC13" s="32"/>
      <c r="AD13" s="31"/>
      <c r="AE13" s="31"/>
      <c r="AF13" s="31"/>
      <c r="AG13" s="31"/>
      <c r="AH13" s="31"/>
      <c r="AI13" s="32"/>
      <c r="AJ13" s="31"/>
      <c r="AK13" s="31">
        <v>0</v>
      </c>
      <c r="AL13" s="31"/>
      <c r="AM13" s="32"/>
      <c r="AN13" s="32"/>
      <c r="AO13" s="31"/>
      <c r="AP13" s="31"/>
      <c r="AQ13" s="31"/>
      <c r="AR13" s="31"/>
      <c r="AS13" s="31"/>
      <c r="AT13" s="31"/>
      <c r="AU13" s="31"/>
      <c r="AV13" s="31">
        <v>0</v>
      </c>
      <c r="AW13" s="31"/>
      <c r="AX13" s="32"/>
      <c r="AY13" s="32"/>
      <c r="AZ13" s="31"/>
      <c r="BA13" s="31"/>
      <c r="BB13" s="31"/>
      <c r="BC13" s="31"/>
      <c r="BD13" s="31"/>
      <c r="BE13" s="31"/>
      <c r="BF13" s="31"/>
      <c r="BG13" s="31">
        <v>0</v>
      </c>
      <c r="BH13" s="31"/>
      <c r="BI13" s="32"/>
      <c r="BJ13" s="32"/>
      <c r="BK13" s="31"/>
      <c r="BL13" s="31"/>
      <c r="BM13" s="31"/>
      <c r="BN13" s="31"/>
      <c r="BO13" s="31"/>
      <c r="BP13" s="31"/>
      <c r="BQ13" s="31"/>
      <c r="BR13" s="31">
        <v>0</v>
      </c>
      <c r="BS13" s="31"/>
      <c r="BT13" s="32"/>
      <c r="BU13" s="32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>
        <v>0</v>
      </c>
      <c r="CJ13" s="31"/>
      <c r="CK13" s="31"/>
      <c r="CL13" s="31"/>
      <c r="CM13" s="31"/>
      <c r="CN13" s="31"/>
      <c r="CO13" s="31">
        <v>1</v>
      </c>
      <c r="CP13" s="31" t="s">
        <v>461</v>
      </c>
      <c r="CQ13" s="32">
        <f t="shared" si="6"/>
        <v>45818</v>
      </c>
      <c r="CR13" s="32">
        <v>45818</v>
      </c>
      <c r="CS13" s="32">
        <v>46200</v>
      </c>
      <c r="CT13" s="32" t="s">
        <v>404</v>
      </c>
      <c r="CU13" s="31">
        <v>1</v>
      </c>
      <c r="CV13" s="31" t="s">
        <v>466</v>
      </c>
      <c r="CW13" s="32">
        <f t="shared" si="3"/>
        <v>45818</v>
      </c>
      <c r="CX13" s="32">
        <v>45818</v>
      </c>
      <c r="CY13" s="33">
        <v>45658</v>
      </c>
      <c r="CZ13" s="34">
        <v>46388</v>
      </c>
      <c r="DA13" s="31" t="s">
        <v>166</v>
      </c>
      <c r="DB13" s="31" t="s">
        <v>167</v>
      </c>
      <c r="DC13" s="32">
        <v>46200</v>
      </c>
      <c r="DD13" s="32" t="s">
        <v>404</v>
      </c>
      <c r="DE13" s="31">
        <v>0</v>
      </c>
      <c r="DF13" s="31"/>
      <c r="DG13" s="31"/>
      <c r="DH13" s="31"/>
      <c r="DI13" s="31"/>
      <c r="DJ13" s="31"/>
      <c r="DK13" s="31">
        <v>0</v>
      </c>
      <c r="DL13" s="31"/>
      <c r="DM13" s="31"/>
      <c r="DN13" s="31"/>
      <c r="DO13" s="31"/>
      <c r="DP13" s="31"/>
      <c r="DQ13" s="31">
        <v>1</v>
      </c>
      <c r="DR13" s="31" t="s">
        <v>477</v>
      </c>
      <c r="DS13" s="32">
        <v>45394</v>
      </c>
      <c r="DT13" s="32">
        <f t="shared" si="4"/>
        <v>45394</v>
      </c>
      <c r="DU13" s="32">
        <v>46051</v>
      </c>
      <c r="DV13" s="32" t="s">
        <v>404</v>
      </c>
      <c r="DW13" s="31">
        <v>0</v>
      </c>
      <c r="DX13" s="31"/>
      <c r="DY13" s="31"/>
      <c r="DZ13" s="31"/>
      <c r="EA13" s="31"/>
      <c r="EB13" s="31"/>
      <c r="EC13" s="31">
        <v>0</v>
      </c>
      <c r="ED13" s="31"/>
      <c r="EE13" s="31"/>
      <c r="EF13" s="31">
        <v>0</v>
      </c>
      <c r="EG13" s="31"/>
      <c r="EH13" s="31"/>
      <c r="EI13" s="31"/>
      <c r="EJ13" s="26"/>
      <c r="EK13" s="26"/>
      <c r="EL13" s="26"/>
    </row>
    <row r="14" spans="1:142">
      <c r="A14" s="11">
        <v>11</v>
      </c>
      <c r="B14" s="109">
        <v>11315</v>
      </c>
      <c r="C14" s="37" t="s">
        <v>43</v>
      </c>
      <c r="D14" s="31">
        <v>1313088402</v>
      </c>
      <c r="E14" s="37" t="s">
        <v>44</v>
      </c>
      <c r="F14" s="26" t="s">
        <v>171</v>
      </c>
      <c r="G14" s="36" t="s">
        <v>27</v>
      </c>
      <c r="H14" s="31">
        <v>1</v>
      </c>
      <c r="I14" s="31" t="s">
        <v>412</v>
      </c>
      <c r="J14" s="32">
        <f t="shared" si="0"/>
        <v>45161</v>
      </c>
      <c r="K14" s="32">
        <v>45161</v>
      </c>
      <c r="L14" s="32">
        <v>46200</v>
      </c>
      <c r="M14" s="32" t="s">
        <v>405</v>
      </c>
      <c r="N14" s="31">
        <v>1</v>
      </c>
      <c r="O14" s="31" t="s">
        <v>424</v>
      </c>
      <c r="P14" s="32">
        <f t="shared" si="1"/>
        <v>45925</v>
      </c>
      <c r="Q14" s="32">
        <v>45925</v>
      </c>
      <c r="R14" s="32">
        <v>46200</v>
      </c>
      <c r="S14" s="32" t="s">
        <v>404</v>
      </c>
      <c r="T14" s="31">
        <v>1</v>
      </c>
      <c r="U14" s="31" t="s">
        <v>438</v>
      </c>
      <c r="V14" s="32">
        <f t="shared" si="2"/>
        <v>45818</v>
      </c>
      <c r="W14" s="32">
        <v>45818</v>
      </c>
      <c r="X14" s="32">
        <v>46200</v>
      </c>
      <c r="Y14" s="32" t="s">
        <v>404</v>
      </c>
      <c r="Z14" s="36">
        <v>0</v>
      </c>
      <c r="AA14" s="36"/>
      <c r="AB14" s="36"/>
      <c r="AC14" s="36"/>
      <c r="AD14" s="36"/>
      <c r="AE14" s="36"/>
      <c r="AF14" s="36"/>
      <c r="AG14" s="36"/>
      <c r="AH14" s="36"/>
      <c r="AI14" s="32"/>
      <c r="AJ14" s="36"/>
      <c r="AK14" s="31">
        <v>0</v>
      </c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6">
        <v>0</v>
      </c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>
        <v>0</v>
      </c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>
        <v>0</v>
      </c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1">
        <v>0</v>
      </c>
      <c r="CJ14" s="31"/>
      <c r="CK14" s="31"/>
      <c r="CL14" s="31"/>
      <c r="CM14" s="31"/>
      <c r="CN14" s="31"/>
      <c r="CO14" s="31">
        <v>1</v>
      </c>
      <c r="CP14" s="31" t="s">
        <v>462</v>
      </c>
      <c r="CQ14" s="32">
        <f t="shared" si="6"/>
        <v>45818</v>
      </c>
      <c r="CR14" s="32">
        <v>45818</v>
      </c>
      <c r="CS14" s="32">
        <v>46200</v>
      </c>
      <c r="CT14" s="32" t="s">
        <v>405</v>
      </c>
      <c r="CU14" s="31">
        <v>1</v>
      </c>
      <c r="CV14" s="31" t="s">
        <v>467</v>
      </c>
      <c r="CW14" s="32">
        <f t="shared" si="3"/>
        <v>45818</v>
      </c>
      <c r="CX14" s="32">
        <v>45818</v>
      </c>
      <c r="CY14" s="33">
        <v>45658</v>
      </c>
      <c r="CZ14" s="34">
        <v>46388</v>
      </c>
      <c r="DA14" s="31" t="s">
        <v>166</v>
      </c>
      <c r="DB14" s="31" t="s">
        <v>167</v>
      </c>
      <c r="DC14" s="32">
        <v>46200</v>
      </c>
      <c r="DD14" s="32" t="s">
        <v>404</v>
      </c>
      <c r="DE14" s="31">
        <v>1</v>
      </c>
      <c r="DF14" s="31" t="s">
        <v>472</v>
      </c>
      <c r="DG14" s="39">
        <v>45732</v>
      </c>
      <c r="DH14" s="32">
        <f>DG14</f>
        <v>45732</v>
      </c>
      <c r="DI14" s="32">
        <v>46051</v>
      </c>
      <c r="DJ14" s="32" t="s">
        <v>404</v>
      </c>
      <c r="DK14" s="31">
        <v>0</v>
      </c>
      <c r="DL14" s="31"/>
      <c r="DM14" s="31"/>
      <c r="DN14" s="31"/>
      <c r="DO14" s="31"/>
      <c r="DP14" s="31"/>
      <c r="DQ14" s="31">
        <v>0</v>
      </c>
      <c r="DR14" s="31"/>
      <c r="DS14" s="32"/>
      <c r="DT14" s="32"/>
      <c r="DU14" s="32"/>
      <c r="DV14" s="32"/>
      <c r="DW14" s="31">
        <v>0</v>
      </c>
      <c r="DX14" s="31"/>
      <c r="DY14" s="32"/>
      <c r="DZ14" s="32"/>
      <c r="EA14" s="32"/>
      <c r="EB14" s="32"/>
      <c r="EC14" s="31">
        <v>0</v>
      </c>
      <c r="ED14" s="31"/>
      <c r="EE14" s="31"/>
      <c r="EF14" s="31">
        <v>0</v>
      </c>
      <c r="EG14" s="31"/>
      <c r="EH14" s="31"/>
      <c r="EI14" s="31"/>
      <c r="EJ14" s="26"/>
      <c r="EK14" s="26"/>
      <c r="EL14" s="26"/>
    </row>
    <row r="15" spans="1:142">
      <c r="A15" s="11">
        <v>12</v>
      </c>
      <c r="B15" s="109">
        <v>11706</v>
      </c>
      <c r="C15" s="37" t="s">
        <v>215</v>
      </c>
      <c r="D15" s="31">
        <v>1313088224</v>
      </c>
      <c r="E15" s="37" t="s">
        <v>42</v>
      </c>
      <c r="F15" s="26" t="s">
        <v>171</v>
      </c>
      <c r="G15" s="36" t="s">
        <v>27</v>
      </c>
      <c r="H15" s="31">
        <v>0</v>
      </c>
      <c r="I15" s="31"/>
      <c r="J15" s="32"/>
      <c r="K15" s="32"/>
      <c r="L15" s="32"/>
      <c r="M15" s="32"/>
      <c r="N15" s="31">
        <v>1</v>
      </c>
      <c r="O15" s="31" t="s">
        <v>425</v>
      </c>
      <c r="P15" s="32">
        <f t="shared" si="1"/>
        <v>45925</v>
      </c>
      <c r="Q15" s="32">
        <v>45925</v>
      </c>
      <c r="R15" s="32">
        <v>46051</v>
      </c>
      <c r="S15" s="32" t="s">
        <v>404</v>
      </c>
      <c r="T15" s="31">
        <v>0</v>
      </c>
      <c r="U15" s="31" t="s">
        <v>439</v>
      </c>
      <c r="V15" s="32"/>
      <c r="W15" s="32"/>
      <c r="X15" s="32"/>
      <c r="Y15" s="32"/>
      <c r="Z15" s="36">
        <v>0</v>
      </c>
      <c r="AA15" s="36"/>
      <c r="AB15" s="36"/>
      <c r="AC15" s="36"/>
      <c r="AD15" s="36"/>
      <c r="AE15" s="36"/>
      <c r="AF15" s="36"/>
      <c r="AG15" s="36"/>
      <c r="AH15" s="36"/>
      <c r="AI15" s="32"/>
      <c r="AJ15" s="36"/>
      <c r="AK15" s="31">
        <v>0</v>
      </c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6">
        <v>0</v>
      </c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>
        <v>0</v>
      </c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>
        <v>0</v>
      </c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1">
        <v>0</v>
      </c>
      <c r="CJ15" s="31"/>
      <c r="CK15" s="31"/>
      <c r="CL15" s="31"/>
      <c r="CM15" s="31"/>
      <c r="CN15" s="31"/>
      <c r="CO15" s="31">
        <v>0</v>
      </c>
      <c r="CP15" s="31"/>
      <c r="CQ15" s="32"/>
      <c r="CR15" s="32"/>
      <c r="CS15" s="32"/>
      <c r="CT15" s="32"/>
      <c r="CU15" s="31">
        <v>0</v>
      </c>
      <c r="CV15" s="31"/>
      <c r="CW15" s="32"/>
      <c r="CX15" s="32"/>
      <c r="CY15" s="33"/>
      <c r="CZ15" s="34"/>
      <c r="DA15" s="31"/>
      <c r="DB15" s="31"/>
      <c r="DC15" s="31"/>
      <c r="DD15" s="31"/>
      <c r="DE15" s="31">
        <v>0</v>
      </c>
      <c r="DF15" s="31"/>
      <c r="DG15" s="31"/>
      <c r="DH15" s="31"/>
      <c r="DI15" s="31"/>
      <c r="DJ15" s="31"/>
      <c r="DK15" s="31">
        <v>0</v>
      </c>
      <c r="DL15" s="31"/>
      <c r="DM15" s="31"/>
      <c r="DN15" s="31"/>
      <c r="DO15" s="31"/>
      <c r="DP15" s="31"/>
      <c r="DQ15" s="31">
        <v>0</v>
      </c>
      <c r="DR15" s="31"/>
      <c r="DS15" s="32"/>
      <c r="DT15" s="32"/>
      <c r="DU15" s="32"/>
      <c r="DV15" s="32"/>
      <c r="DW15" s="31">
        <v>0</v>
      </c>
      <c r="DX15" s="31"/>
      <c r="DY15" s="31"/>
      <c r="DZ15" s="32"/>
      <c r="EA15" s="32"/>
      <c r="EB15" s="32"/>
      <c r="EC15" s="31">
        <v>0</v>
      </c>
      <c r="ED15" s="31"/>
      <c r="EE15" s="31"/>
      <c r="EF15" s="31">
        <v>0</v>
      </c>
      <c r="EG15" s="31"/>
      <c r="EH15" s="31"/>
      <c r="EI15" s="31"/>
      <c r="EJ15" s="26"/>
      <c r="EK15" s="26"/>
      <c r="EL15" s="26"/>
    </row>
    <row r="16" spans="1:142">
      <c r="A16" s="11">
        <v>13</v>
      </c>
      <c r="B16" s="109">
        <v>11769</v>
      </c>
      <c r="C16" s="37" t="s">
        <v>216</v>
      </c>
      <c r="D16" s="31">
        <v>1313088538</v>
      </c>
      <c r="E16" s="37" t="s">
        <v>41</v>
      </c>
      <c r="F16" s="26" t="s">
        <v>171</v>
      </c>
      <c r="G16" s="36" t="s">
        <v>27</v>
      </c>
      <c r="H16" s="31">
        <v>1</v>
      </c>
      <c r="I16" s="31" t="s">
        <v>413</v>
      </c>
      <c r="J16" s="32">
        <f t="shared" si="0"/>
        <v>45161</v>
      </c>
      <c r="K16" s="32">
        <v>45161</v>
      </c>
      <c r="L16" s="32">
        <v>46200</v>
      </c>
      <c r="M16" s="32" t="s">
        <v>405</v>
      </c>
      <c r="N16" s="31">
        <v>1</v>
      </c>
      <c r="O16" s="31" t="s">
        <v>426</v>
      </c>
      <c r="P16" s="32">
        <f t="shared" si="1"/>
        <v>45925</v>
      </c>
      <c r="Q16" s="32">
        <v>45925</v>
      </c>
      <c r="R16" s="32">
        <v>46200</v>
      </c>
      <c r="S16" s="32" t="s">
        <v>404</v>
      </c>
      <c r="T16" s="31">
        <v>1</v>
      </c>
      <c r="U16" s="31" t="s">
        <v>430</v>
      </c>
      <c r="V16" s="32">
        <f t="shared" si="2"/>
        <v>45161</v>
      </c>
      <c r="W16" s="32">
        <v>45161</v>
      </c>
      <c r="X16" s="32">
        <v>46200</v>
      </c>
      <c r="Y16" s="32" t="s">
        <v>404</v>
      </c>
      <c r="Z16" s="36">
        <v>0</v>
      </c>
      <c r="AA16" s="36"/>
      <c r="AB16" s="36"/>
      <c r="AC16" s="36"/>
      <c r="AD16" s="36"/>
      <c r="AE16" s="36"/>
      <c r="AF16" s="36"/>
      <c r="AG16" s="36"/>
      <c r="AH16" s="36"/>
      <c r="AI16" s="32"/>
      <c r="AJ16" s="36"/>
      <c r="AK16" s="31">
        <v>0</v>
      </c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6">
        <v>0</v>
      </c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>
        <v>0</v>
      </c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>
        <v>0</v>
      </c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1">
        <v>0</v>
      </c>
      <c r="CJ16" s="31"/>
      <c r="CK16" s="31"/>
      <c r="CL16" s="31"/>
      <c r="CM16" s="31"/>
      <c r="CN16" s="31"/>
      <c r="CO16" s="31">
        <v>1</v>
      </c>
      <c r="CP16" s="31" t="s">
        <v>463</v>
      </c>
      <c r="CQ16" s="32">
        <f t="shared" si="6"/>
        <v>45818</v>
      </c>
      <c r="CR16" s="32">
        <v>45818</v>
      </c>
      <c r="CS16" s="32">
        <v>46200</v>
      </c>
      <c r="CT16" s="32" t="s">
        <v>404</v>
      </c>
      <c r="CU16" s="31">
        <v>1</v>
      </c>
      <c r="CV16" s="31" t="s">
        <v>468</v>
      </c>
      <c r="CW16" s="32">
        <f t="shared" si="3"/>
        <v>45818</v>
      </c>
      <c r="CX16" s="32">
        <v>45818</v>
      </c>
      <c r="CY16" s="33">
        <v>45658</v>
      </c>
      <c r="CZ16" s="34">
        <v>46388</v>
      </c>
      <c r="DA16" s="31" t="s">
        <v>166</v>
      </c>
      <c r="DB16" s="31" t="s">
        <v>167</v>
      </c>
      <c r="DC16" s="32">
        <v>46200</v>
      </c>
      <c r="DD16" s="32" t="s">
        <v>404</v>
      </c>
      <c r="DE16" s="31">
        <v>0</v>
      </c>
      <c r="DF16" s="31"/>
      <c r="DG16" s="31"/>
      <c r="DH16" s="31"/>
      <c r="DI16" s="31"/>
      <c r="DJ16" s="31"/>
      <c r="DK16" s="31">
        <v>0</v>
      </c>
      <c r="DL16" s="31"/>
      <c r="DM16" s="31"/>
      <c r="DN16" s="31"/>
      <c r="DO16" s="31"/>
      <c r="DP16" s="31"/>
      <c r="DQ16" s="31">
        <v>0</v>
      </c>
      <c r="DR16" s="31"/>
      <c r="DS16" s="32"/>
      <c r="DT16" s="32"/>
      <c r="DU16" s="32"/>
      <c r="DV16" s="32"/>
      <c r="DW16" s="31">
        <v>0</v>
      </c>
      <c r="DX16" s="31"/>
      <c r="DY16" s="31"/>
      <c r="DZ16" s="32"/>
      <c r="EA16" s="32"/>
      <c r="EB16" s="32"/>
      <c r="EC16" s="31">
        <v>0</v>
      </c>
      <c r="ED16" s="31"/>
      <c r="EE16" s="31"/>
      <c r="EF16" s="31">
        <v>0</v>
      </c>
      <c r="EG16" s="31"/>
      <c r="EH16" s="31"/>
      <c r="EI16" s="31"/>
      <c r="EJ16" s="26"/>
      <c r="EK16" s="26"/>
      <c r="EL16" s="26"/>
    </row>
    <row r="17" spans="1:142" hidden="1">
      <c r="A17" s="11">
        <v>14</v>
      </c>
      <c r="B17" s="107">
        <v>6652</v>
      </c>
      <c r="C17" s="3" t="s">
        <v>46</v>
      </c>
      <c r="D17" s="3">
        <v>1313088556</v>
      </c>
      <c r="E17" s="3" t="s">
        <v>41</v>
      </c>
      <c r="F17" s="26" t="s">
        <v>171</v>
      </c>
      <c r="G17" s="5" t="s">
        <v>47</v>
      </c>
      <c r="H17" s="4">
        <v>1</v>
      </c>
      <c r="I17" s="4" t="s">
        <v>627</v>
      </c>
      <c r="J17" s="38">
        <f>K17</f>
        <v>45132</v>
      </c>
      <c r="K17" s="38">
        <v>45132</v>
      </c>
      <c r="L17" s="32">
        <v>46200</v>
      </c>
      <c r="M17" s="38" t="s">
        <v>404</v>
      </c>
      <c r="N17" s="4">
        <v>1</v>
      </c>
      <c r="O17" s="4" t="s">
        <v>639</v>
      </c>
      <c r="P17" s="32">
        <f t="shared" si="1"/>
        <v>45925</v>
      </c>
      <c r="Q17" s="39">
        <v>45925</v>
      </c>
      <c r="R17" s="32">
        <v>46200</v>
      </c>
      <c r="S17" s="38" t="s">
        <v>404</v>
      </c>
      <c r="T17" s="4">
        <v>1</v>
      </c>
      <c r="U17" s="4" t="s">
        <v>655</v>
      </c>
      <c r="V17" s="38">
        <f>W17</f>
        <v>45498</v>
      </c>
      <c r="W17" s="38">
        <v>45498</v>
      </c>
      <c r="X17" s="32">
        <v>46200</v>
      </c>
      <c r="Y17" s="32" t="s">
        <v>405</v>
      </c>
      <c r="Z17" s="4">
        <v>0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>
        <v>0</v>
      </c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>
        <v>0</v>
      </c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>
        <v>0</v>
      </c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>
        <v>0</v>
      </c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>
        <v>0</v>
      </c>
      <c r="CJ17" s="4"/>
      <c r="CK17" s="4"/>
      <c r="CL17" s="4"/>
      <c r="CM17" s="4"/>
      <c r="CN17" s="4"/>
      <c r="CO17" s="4">
        <v>1</v>
      </c>
      <c r="CP17" s="4" t="s">
        <v>688</v>
      </c>
      <c r="CQ17" s="39">
        <v>45818</v>
      </c>
      <c r="CR17" s="39">
        <f>CQ17</f>
        <v>45818</v>
      </c>
      <c r="CS17" s="32">
        <v>46200</v>
      </c>
      <c r="CT17" s="38" t="s">
        <v>654</v>
      </c>
      <c r="CU17" s="4">
        <v>1</v>
      </c>
      <c r="CV17" s="4" t="s">
        <v>693</v>
      </c>
      <c r="CW17" s="39">
        <v>45818</v>
      </c>
      <c r="CX17" s="38">
        <f>CW17</f>
        <v>45818</v>
      </c>
      <c r="CY17" s="33">
        <v>45658</v>
      </c>
      <c r="CZ17" s="34">
        <v>46388</v>
      </c>
      <c r="DA17" s="31" t="s">
        <v>166</v>
      </c>
      <c r="DB17" s="31" t="s">
        <v>167</v>
      </c>
      <c r="DC17" s="32">
        <v>46200</v>
      </c>
      <c r="DD17" s="38" t="s">
        <v>654</v>
      </c>
      <c r="DE17" s="4">
        <v>0</v>
      </c>
      <c r="DF17" s="4"/>
      <c r="DG17" s="4"/>
      <c r="DH17" s="4"/>
      <c r="DI17" s="4"/>
      <c r="DJ17" s="4"/>
      <c r="DK17" s="4">
        <v>0</v>
      </c>
      <c r="DL17" s="4"/>
      <c r="DM17" s="4"/>
      <c r="DN17" s="4"/>
      <c r="DO17" s="4"/>
      <c r="DP17" s="4"/>
      <c r="DQ17" s="31">
        <v>1</v>
      </c>
      <c r="DR17" s="31" t="s">
        <v>698</v>
      </c>
      <c r="DS17" s="32">
        <v>45394</v>
      </c>
      <c r="DT17" s="32">
        <f t="shared" si="4"/>
        <v>45394</v>
      </c>
      <c r="DU17" s="38">
        <v>46052</v>
      </c>
      <c r="DV17" s="38" t="s">
        <v>654</v>
      </c>
      <c r="DW17" s="4">
        <v>1</v>
      </c>
      <c r="DX17" s="4" t="s">
        <v>706</v>
      </c>
      <c r="DY17" s="32">
        <v>45527</v>
      </c>
      <c r="DZ17" s="32">
        <f t="shared" ref="DZ17" si="9">DY17</f>
        <v>45527</v>
      </c>
      <c r="EA17" s="38">
        <v>46052</v>
      </c>
      <c r="EB17" s="38" t="s">
        <v>654</v>
      </c>
      <c r="EC17" s="4">
        <v>0</v>
      </c>
      <c r="ED17" s="4"/>
      <c r="EE17" s="4"/>
      <c r="EF17" s="4">
        <v>0</v>
      </c>
      <c r="EG17" s="4"/>
      <c r="EH17" s="43"/>
      <c r="EI17" s="43"/>
      <c r="EJ17" s="26"/>
      <c r="EK17" s="26"/>
      <c r="EL17" s="26"/>
    </row>
    <row r="18" spans="1:142" hidden="1">
      <c r="A18" s="11">
        <v>15</v>
      </c>
      <c r="B18" s="107">
        <v>7375</v>
      </c>
      <c r="C18" s="3" t="s">
        <v>48</v>
      </c>
      <c r="D18" s="8">
        <v>1313438572</v>
      </c>
      <c r="E18" s="4" t="s">
        <v>26</v>
      </c>
      <c r="F18" s="26" t="s">
        <v>171</v>
      </c>
      <c r="G18" s="5" t="s">
        <v>47</v>
      </c>
      <c r="H18" s="4">
        <v>1</v>
      </c>
      <c r="I18" s="4" t="s">
        <v>629</v>
      </c>
      <c r="J18" s="38">
        <f t="shared" ref="J18:J48" si="10">K18</f>
        <v>45132</v>
      </c>
      <c r="K18" s="38">
        <v>45132</v>
      </c>
      <c r="L18" s="32">
        <v>46200</v>
      </c>
      <c r="M18" s="38" t="s">
        <v>404</v>
      </c>
      <c r="N18" s="4">
        <v>1</v>
      </c>
      <c r="O18" s="4" t="s">
        <v>640</v>
      </c>
      <c r="P18" s="32">
        <f t="shared" si="1"/>
        <v>45927</v>
      </c>
      <c r="Q18" s="38">
        <v>45927</v>
      </c>
      <c r="R18" s="32">
        <v>46200</v>
      </c>
      <c r="S18" s="38" t="s">
        <v>404</v>
      </c>
      <c r="T18" s="4">
        <v>1</v>
      </c>
      <c r="U18" s="4" t="s">
        <v>657</v>
      </c>
      <c r="V18" s="38">
        <f t="shared" ref="V18:V51" si="11">W18</f>
        <v>45132</v>
      </c>
      <c r="W18" s="38">
        <v>45132</v>
      </c>
      <c r="X18" s="32">
        <v>46200</v>
      </c>
      <c r="Y18" s="38" t="s">
        <v>654</v>
      </c>
      <c r="Z18" s="4">
        <v>0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>
        <v>0</v>
      </c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>
        <v>0</v>
      </c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>
        <v>0</v>
      </c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>
        <v>0</v>
      </c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>
        <v>0</v>
      </c>
      <c r="CJ18" s="4"/>
      <c r="CK18" s="4"/>
      <c r="CL18" s="4"/>
      <c r="CM18" s="4"/>
      <c r="CN18" s="4"/>
      <c r="CO18" s="4">
        <v>0</v>
      </c>
      <c r="CP18" s="4"/>
      <c r="CQ18" s="39"/>
      <c r="CR18" s="39"/>
      <c r="CS18" s="39"/>
      <c r="CT18" s="39"/>
      <c r="CU18" s="4">
        <v>0</v>
      </c>
      <c r="CV18" s="4"/>
      <c r="CW18" s="39"/>
      <c r="CX18" s="38"/>
      <c r="CY18" s="33"/>
      <c r="CZ18" s="34"/>
      <c r="DA18" s="31"/>
      <c r="DB18" s="31"/>
      <c r="DC18" s="31"/>
      <c r="DD18" s="31"/>
      <c r="DE18" s="4">
        <v>0</v>
      </c>
      <c r="DF18" s="4"/>
      <c r="DG18" s="4"/>
      <c r="DH18" s="4"/>
      <c r="DI18" s="4"/>
      <c r="DJ18" s="4"/>
      <c r="DK18" s="4">
        <v>0</v>
      </c>
      <c r="DL18" s="4"/>
      <c r="DM18" s="4"/>
      <c r="DN18" s="4"/>
      <c r="DO18" s="4"/>
      <c r="DP18" s="4"/>
      <c r="DQ18" s="31">
        <v>0</v>
      </c>
      <c r="DR18" s="31"/>
      <c r="DS18" s="32"/>
      <c r="DT18" s="32"/>
      <c r="DU18" s="32"/>
      <c r="DV18" s="32"/>
      <c r="DW18" s="4">
        <v>0</v>
      </c>
      <c r="DX18" s="4"/>
      <c r="DY18" s="32"/>
      <c r="DZ18" s="32"/>
      <c r="EA18" s="32"/>
      <c r="EB18" s="32"/>
      <c r="EC18" s="4">
        <v>0</v>
      </c>
      <c r="ED18" s="4"/>
      <c r="EE18" s="4"/>
      <c r="EF18" s="4">
        <v>0</v>
      </c>
      <c r="EG18" s="4"/>
      <c r="EH18" s="4"/>
      <c r="EI18" s="4"/>
      <c r="EJ18" s="26"/>
      <c r="EK18" s="26"/>
      <c r="EL18" s="26"/>
    </row>
    <row r="19" spans="1:142" hidden="1">
      <c r="A19" s="11">
        <v>16</v>
      </c>
      <c r="B19" s="104">
        <v>9934</v>
      </c>
      <c r="C19" s="130" t="s">
        <v>49</v>
      </c>
      <c r="D19" s="4">
        <v>1313088453</v>
      </c>
      <c r="E19" s="3" t="s">
        <v>39</v>
      </c>
      <c r="F19" s="26" t="s">
        <v>214</v>
      </c>
      <c r="G19" s="5" t="s">
        <v>47</v>
      </c>
      <c r="H19" s="4">
        <v>0</v>
      </c>
      <c r="I19" s="4"/>
      <c r="J19" s="38"/>
      <c r="K19" s="32"/>
      <c r="L19" s="38"/>
      <c r="M19" s="32"/>
      <c r="N19" s="4">
        <v>1</v>
      </c>
      <c r="O19" s="4" t="s">
        <v>641</v>
      </c>
      <c r="P19" s="32">
        <f t="shared" si="1"/>
        <v>45161</v>
      </c>
      <c r="Q19" s="32">
        <v>45161</v>
      </c>
      <c r="R19" s="38">
        <v>46233</v>
      </c>
      <c r="S19" s="38" t="s">
        <v>404</v>
      </c>
      <c r="T19" s="4">
        <v>1</v>
      </c>
      <c r="U19" s="4" t="s">
        <v>658</v>
      </c>
      <c r="V19" s="38">
        <f t="shared" si="11"/>
        <v>45453</v>
      </c>
      <c r="W19" s="38">
        <v>45453</v>
      </c>
      <c r="X19" s="38">
        <v>46233</v>
      </c>
      <c r="Y19" s="32" t="s">
        <v>404</v>
      </c>
      <c r="Z19" s="5">
        <v>1</v>
      </c>
      <c r="AA19" s="5" t="s">
        <v>670</v>
      </c>
      <c r="AB19" s="32">
        <f t="shared" ref="AB19" si="12">AC19</f>
        <v>45161</v>
      </c>
      <c r="AC19" s="32">
        <v>45161</v>
      </c>
      <c r="AD19" s="5"/>
      <c r="AE19" s="22">
        <v>44887</v>
      </c>
      <c r="AF19" s="22">
        <f>DATE(YEAR(AE19)+5,MONTH(AE19),DAY(AE19))</f>
        <v>46713</v>
      </c>
      <c r="AG19" s="5"/>
      <c r="AH19" s="36" t="s">
        <v>161</v>
      </c>
      <c r="AI19" s="32">
        <v>46233</v>
      </c>
      <c r="AJ19" s="38" t="s">
        <v>654</v>
      </c>
      <c r="AK19" s="4">
        <v>1</v>
      </c>
      <c r="AL19" s="4" t="s">
        <v>673</v>
      </c>
      <c r="AM19" s="32">
        <v>45161</v>
      </c>
      <c r="AN19" s="32">
        <v>45161</v>
      </c>
      <c r="AO19" s="4"/>
      <c r="AP19" s="22">
        <v>44856</v>
      </c>
      <c r="AQ19" s="34">
        <v>46687</v>
      </c>
      <c r="AR19" s="22" t="s">
        <v>163</v>
      </c>
      <c r="AS19" s="22" t="s">
        <v>162</v>
      </c>
      <c r="AT19" s="32">
        <v>46233</v>
      </c>
      <c r="AU19" s="38" t="s">
        <v>654</v>
      </c>
      <c r="AV19" s="5">
        <v>1</v>
      </c>
      <c r="AW19" s="5" t="s">
        <v>676</v>
      </c>
      <c r="AX19" s="32">
        <v>45161</v>
      </c>
      <c r="AY19" s="32">
        <v>45161</v>
      </c>
      <c r="AZ19" s="5"/>
      <c r="BA19" s="22">
        <v>44703</v>
      </c>
      <c r="BB19" s="34">
        <v>46529</v>
      </c>
      <c r="BC19" s="22" t="s">
        <v>163</v>
      </c>
      <c r="BD19" s="34" t="s">
        <v>1210</v>
      </c>
      <c r="BE19" s="32">
        <v>46233</v>
      </c>
      <c r="BF19" s="38" t="s">
        <v>654</v>
      </c>
      <c r="BG19" s="5">
        <v>1</v>
      </c>
      <c r="BH19" s="5" t="s">
        <v>679</v>
      </c>
      <c r="BI19" s="32">
        <v>45161</v>
      </c>
      <c r="BJ19" s="32">
        <v>45161</v>
      </c>
      <c r="BK19" s="5"/>
      <c r="BL19" s="22">
        <v>44703</v>
      </c>
      <c r="BM19" s="34">
        <v>46529</v>
      </c>
      <c r="BN19" s="22" t="s">
        <v>163</v>
      </c>
      <c r="BO19" s="22" t="s">
        <v>164</v>
      </c>
      <c r="BP19" s="32">
        <v>46233</v>
      </c>
      <c r="BQ19" s="38" t="s">
        <v>654</v>
      </c>
      <c r="BR19" s="5">
        <v>1</v>
      </c>
      <c r="BS19" s="5" t="s">
        <v>682</v>
      </c>
      <c r="BT19" s="32">
        <v>45161</v>
      </c>
      <c r="BU19" s="32">
        <v>45161</v>
      </c>
      <c r="BV19" s="5"/>
      <c r="BW19" s="23">
        <v>44483</v>
      </c>
      <c r="BX19" s="34">
        <v>46674</v>
      </c>
      <c r="BY19" s="22" t="s">
        <v>163</v>
      </c>
      <c r="BZ19" s="23" t="s">
        <v>165</v>
      </c>
      <c r="CA19" s="32">
        <v>46233</v>
      </c>
      <c r="CB19" s="38" t="s">
        <v>654</v>
      </c>
      <c r="CC19" s="23"/>
      <c r="CD19" s="23"/>
      <c r="CE19" s="23"/>
      <c r="CF19" s="23"/>
      <c r="CG19" s="23"/>
      <c r="CH19" s="23"/>
      <c r="CI19" s="31">
        <v>1</v>
      </c>
      <c r="CJ19" s="31" t="s">
        <v>685</v>
      </c>
      <c r="CK19" s="32">
        <v>45577</v>
      </c>
      <c r="CL19" s="32">
        <v>45577</v>
      </c>
      <c r="CM19" s="32">
        <v>46233</v>
      </c>
      <c r="CN19" s="38" t="s">
        <v>654</v>
      </c>
      <c r="CO19" s="4">
        <v>0</v>
      </c>
      <c r="CP19" s="4"/>
      <c r="CQ19" s="39"/>
      <c r="CR19" s="39"/>
      <c r="CS19" s="39"/>
      <c r="CT19" s="39"/>
      <c r="CU19" s="4">
        <v>0</v>
      </c>
      <c r="CV19" s="4"/>
      <c r="CW19" s="39"/>
      <c r="CX19" s="38"/>
      <c r="CY19" s="33"/>
      <c r="CZ19" s="34"/>
      <c r="DA19" s="31"/>
      <c r="DB19" s="31"/>
      <c r="DC19" s="31"/>
      <c r="DD19" s="31"/>
      <c r="DE19" s="4">
        <v>0</v>
      </c>
      <c r="DF19" s="4"/>
      <c r="DG19" s="4"/>
      <c r="DH19" s="4"/>
      <c r="DI19" s="4"/>
      <c r="DJ19" s="4"/>
      <c r="DK19" s="4">
        <v>0</v>
      </c>
      <c r="DL19" s="4"/>
      <c r="DM19" s="4"/>
      <c r="DN19" s="4"/>
      <c r="DO19" s="4"/>
      <c r="DP19" s="4"/>
      <c r="DQ19" s="31">
        <v>1</v>
      </c>
      <c r="DR19" s="31" t="s">
        <v>699</v>
      </c>
      <c r="DS19" s="32">
        <v>45394</v>
      </c>
      <c r="DT19" s="32">
        <f t="shared" si="4"/>
        <v>45394</v>
      </c>
      <c r="DU19" s="32">
        <v>46233</v>
      </c>
      <c r="DV19" s="38" t="s">
        <v>654</v>
      </c>
      <c r="DW19" s="4">
        <v>0</v>
      </c>
      <c r="DX19" s="4"/>
      <c r="DY19" s="32"/>
      <c r="DZ19" s="32"/>
      <c r="EA19" s="32"/>
      <c r="EB19" s="32"/>
      <c r="EC19" s="4">
        <v>0</v>
      </c>
      <c r="ED19" s="4"/>
      <c r="EE19" s="4"/>
      <c r="EF19" s="4">
        <v>0</v>
      </c>
      <c r="EG19" s="4"/>
      <c r="EH19" s="43"/>
      <c r="EI19" s="43"/>
      <c r="EJ19" s="26"/>
      <c r="EK19" s="26"/>
      <c r="EL19" s="26"/>
    </row>
    <row r="20" spans="1:142" hidden="1">
      <c r="A20" s="11">
        <v>17</v>
      </c>
      <c r="B20" s="104">
        <v>10183</v>
      </c>
      <c r="C20" s="4" t="s">
        <v>50</v>
      </c>
      <c r="D20" s="4">
        <v>1313438522</v>
      </c>
      <c r="E20" s="3" t="s">
        <v>35</v>
      </c>
      <c r="F20" s="26" t="s">
        <v>171</v>
      </c>
      <c r="G20" s="5" t="s">
        <v>47</v>
      </c>
      <c r="H20" s="4">
        <v>1</v>
      </c>
      <c r="I20" s="4" t="s">
        <v>630</v>
      </c>
      <c r="J20" s="38">
        <f t="shared" si="10"/>
        <v>45818</v>
      </c>
      <c r="K20" s="32">
        <v>45818</v>
      </c>
      <c r="L20" s="32">
        <v>46200</v>
      </c>
      <c r="M20" s="38" t="s">
        <v>404</v>
      </c>
      <c r="N20" s="4">
        <v>1</v>
      </c>
      <c r="O20" s="4" t="s">
        <v>642</v>
      </c>
      <c r="P20" s="32">
        <f t="shared" si="1"/>
        <v>45925</v>
      </c>
      <c r="Q20" s="39">
        <v>45925</v>
      </c>
      <c r="R20" s="32">
        <v>46200</v>
      </c>
      <c r="S20" s="38" t="s">
        <v>404</v>
      </c>
      <c r="T20" s="4">
        <v>1</v>
      </c>
      <c r="U20" s="4" t="s">
        <v>659</v>
      </c>
      <c r="V20" s="38">
        <f t="shared" si="11"/>
        <v>45132</v>
      </c>
      <c r="W20" s="38">
        <v>45132</v>
      </c>
      <c r="X20" s="32">
        <v>46200</v>
      </c>
      <c r="Y20" s="32" t="s">
        <v>405</v>
      </c>
      <c r="Z20" s="4">
        <v>0</v>
      </c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>
        <v>0</v>
      </c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>
        <v>0</v>
      </c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>
        <v>0</v>
      </c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>
        <v>0</v>
      </c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>
        <v>0</v>
      </c>
      <c r="CJ20" s="4"/>
      <c r="CK20" s="4"/>
      <c r="CL20" s="4"/>
      <c r="CM20" s="4"/>
      <c r="CN20" s="4"/>
      <c r="CO20" s="4">
        <v>0</v>
      </c>
      <c r="CP20" s="4"/>
      <c r="CQ20" s="39"/>
      <c r="CR20" s="39"/>
      <c r="CS20" s="39"/>
      <c r="CT20" s="39"/>
      <c r="CU20" s="4">
        <v>0</v>
      </c>
      <c r="CV20" s="4"/>
      <c r="CW20" s="39"/>
      <c r="CX20" s="38"/>
      <c r="CY20" s="33"/>
      <c r="CZ20" s="34"/>
      <c r="DA20" s="31"/>
      <c r="DB20" s="31"/>
      <c r="DC20" s="31"/>
      <c r="DD20" s="31"/>
      <c r="DE20" s="4">
        <v>0</v>
      </c>
      <c r="DF20" s="4"/>
      <c r="DG20" s="4"/>
      <c r="DH20" s="4"/>
      <c r="DI20" s="4"/>
      <c r="DJ20" s="4"/>
      <c r="DK20" s="4">
        <v>0</v>
      </c>
      <c r="DL20" s="4"/>
      <c r="DM20" s="4"/>
      <c r="DN20" s="4"/>
      <c r="DO20" s="4"/>
      <c r="DP20" s="4"/>
      <c r="DQ20" s="31">
        <v>0</v>
      </c>
      <c r="DR20" s="31"/>
      <c r="DS20" s="32"/>
      <c r="DT20" s="32"/>
      <c r="DU20" s="32"/>
      <c r="DV20" s="32"/>
      <c r="DW20" s="4">
        <v>0</v>
      </c>
      <c r="DX20" s="4"/>
      <c r="DY20" s="4"/>
      <c r="DZ20" s="4"/>
      <c r="EA20" s="4"/>
      <c r="EB20" s="4"/>
      <c r="EC20" s="4">
        <v>0</v>
      </c>
      <c r="ED20" s="4"/>
      <c r="EE20" s="4"/>
      <c r="EF20" s="4">
        <v>0</v>
      </c>
      <c r="EG20" s="4"/>
      <c r="EH20" s="4"/>
      <c r="EI20" s="4"/>
      <c r="EJ20" s="26"/>
      <c r="EK20" s="26"/>
      <c r="EL20" s="26"/>
    </row>
    <row r="21" spans="1:142" hidden="1">
      <c r="A21" s="11">
        <v>18</v>
      </c>
      <c r="B21" s="104">
        <v>11816</v>
      </c>
      <c r="C21" s="3" t="s">
        <v>51</v>
      </c>
      <c r="D21" s="3">
        <v>1313088566</v>
      </c>
      <c r="E21" s="4" t="s">
        <v>40</v>
      </c>
      <c r="F21" s="26" t="s">
        <v>171</v>
      </c>
      <c r="G21" s="5" t="s">
        <v>47</v>
      </c>
      <c r="H21" s="4">
        <v>1</v>
      </c>
      <c r="I21" s="4" t="s">
        <v>633</v>
      </c>
      <c r="J21" s="38">
        <f t="shared" si="10"/>
        <v>45818</v>
      </c>
      <c r="K21" s="32">
        <v>45818</v>
      </c>
      <c r="L21" s="32">
        <v>46200</v>
      </c>
      <c r="M21" s="38" t="s">
        <v>404</v>
      </c>
      <c r="N21" s="4">
        <v>1</v>
      </c>
      <c r="O21" s="4" t="s">
        <v>643</v>
      </c>
      <c r="P21" s="32">
        <f t="shared" si="1"/>
        <v>45927</v>
      </c>
      <c r="Q21" s="38">
        <v>45927</v>
      </c>
      <c r="R21" s="32">
        <v>46200</v>
      </c>
      <c r="S21" s="38" t="s">
        <v>404</v>
      </c>
      <c r="T21" s="4">
        <v>1</v>
      </c>
      <c r="U21" s="4" t="s">
        <v>660</v>
      </c>
      <c r="V21" s="38">
        <f t="shared" si="11"/>
        <v>45453</v>
      </c>
      <c r="W21" s="38">
        <v>45453</v>
      </c>
      <c r="X21" s="32">
        <v>46200</v>
      </c>
      <c r="Y21" s="38" t="s">
        <v>654</v>
      </c>
      <c r="Z21" s="4">
        <v>0</v>
      </c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>
        <v>0</v>
      </c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>
        <v>0</v>
      </c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>
        <v>0</v>
      </c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>
        <v>0</v>
      </c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>
        <v>0</v>
      </c>
      <c r="CJ21" s="4"/>
      <c r="CK21" s="4"/>
      <c r="CL21" s="4"/>
      <c r="CM21" s="4"/>
      <c r="CN21" s="4"/>
      <c r="CO21" s="4">
        <v>1</v>
      </c>
      <c r="CP21" s="4" t="s">
        <v>689</v>
      </c>
      <c r="CQ21" s="39">
        <v>45818</v>
      </c>
      <c r="CR21" s="39">
        <f t="shared" ref="CR21:CR31" si="13">CQ21</f>
        <v>45818</v>
      </c>
      <c r="CS21" s="32">
        <v>46200</v>
      </c>
      <c r="CT21" s="38" t="s">
        <v>654</v>
      </c>
      <c r="CU21" s="4">
        <v>0</v>
      </c>
      <c r="CV21" s="4"/>
      <c r="CW21" s="39"/>
      <c r="CX21" s="38"/>
      <c r="CY21" s="33"/>
      <c r="CZ21" s="34"/>
      <c r="DA21" s="31"/>
      <c r="DB21" s="31"/>
      <c r="DC21" s="31"/>
      <c r="DD21" s="31"/>
      <c r="DE21" s="4">
        <v>1</v>
      </c>
      <c r="DF21" s="4" t="s">
        <v>696</v>
      </c>
      <c r="DG21" s="39">
        <v>45732</v>
      </c>
      <c r="DH21" s="32">
        <f>DG21</f>
        <v>45732</v>
      </c>
      <c r="DI21" s="38">
        <v>46052</v>
      </c>
      <c r="DJ21" s="38" t="s">
        <v>654</v>
      </c>
      <c r="DK21" s="4">
        <v>0</v>
      </c>
      <c r="DL21" s="4"/>
      <c r="DM21" s="4"/>
      <c r="DN21" s="4"/>
      <c r="DO21" s="4"/>
      <c r="DP21" s="4"/>
      <c r="DQ21" s="31">
        <v>1</v>
      </c>
      <c r="DR21" s="31" t="s">
        <v>700</v>
      </c>
      <c r="DS21" s="32">
        <v>45394</v>
      </c>
      <c r="DT21" s="32">
        <f t="shared" si="4"/>
        <v>45394</v>
      </c>
      <c r="DU21" s="38">
        <v>46052</v>
      </c>
      <c r="DV21" s="38" t="s">
        <v>654</v>
      </c>
      <c r="DW21" s="4">
        <v>0</v>
      </c>
      <c r="DX21" s="4"/>
      <c r="DY21" s="32"/>
      <c r="DZ21" s="32"/>
      <c r="EA21" s="32"/>
      <c r="EB21" s="32"/>
      <c r="EC21" s="4">
        <v>0</v>
      </c>
      <c r="ED21" s="4"/>
      <c r="EE21" s="4"/>
      <c r="EF21" s="4">
        <v>0</v>
      </c>
      <c r="EG21" s="4"/>
      <c r="EH21" s="4"/>
      <c r="EI21" s="4"/>
      <c r="EJ21" s="26"/>
      <c r="EK21" s="26"/>
      <c r="EL21" s="26"/>
    </row>
    <row r="22" spans="1:142" hidden="1">
      <c r="A22" s="11">
        <v>19</v>
      </c>
      <c r="B22" s="110">
        <v>11872</v>
      </c>
      <c r="C22" s="131" t="s">
        <v>217</v>
      </c>
      <c r="D22" s="4">
        <v>1313088248</v>
      </c>
      <c r="E22" s="3" t="s">
        <v>30</v>
      </c>
      <c r="F22" s="26" t="s">
        <v>214</v>
      </c>
      <c r="G22" s="5" t="s">
        <v>47</v>
      </c>
      <c r="H22" s="4">
        <v>0</v>
      </c>
      <c r="I22" s="4"/>
      <c r="J22" s="38"/>
      <c r="K22" s="32"/>
      <c r="L22" s="38"/>
      <c r="M22" s="32"/>
      <c r="N22" s="4">
        <v>1</v>
      </c>
      <c r="O22" s="4" t="s">
        <v>644</v>
      </c>
      <c r="P22" s="32">
        <f t="shared" si="1"/>
        <v>45161</v>
      </c>
      <c r="Q22" s="32">
        <v>45161</v>
      </c>
      <c r="R22" s="38">
        <v>46233</v>
      </c>
      <c r="S22" s="38" t="s">
        <v>405</v>
      </c>
      <c r="T22" s="4">
        <v>1</v>
      </c>
      <c r="U22" s="4" t="s">
        <v>661</v>
      </c>
      <c r="V22" s="38">
        <f t="shared" si="11"/>
        <v>45860</v>
      </c>
      <c r="W22" s="39">
        <v>45860</v>
      </c>
      <c r="X22" s="38">
        <v>46233</v>
      </c>
      <c r="Y22" s="39" t="s">
        <v>654</v>
      </c>
      <c r="Z22" s="5">
        <v>1</v>
      </c>
      <c r="AA22" s="5" t="s">
        <v>671</v>
      </c>
      <c r="AB22" s="32">
        <f t="shared" ref="AB22" si="14">AC22</f>
        <v>45161</v>
      </c>
      <c r="AC22" s="32">
        <v>45161</v>
      </c>
      <c r="AD22" s="5"/>
      <c r="AE22" s="22">
        <v>44887</v>
      </c>
      <c r="AF22" s="22">
        <f>DATE(YEAR(AE22)+5,MONTH(AE22),DAY(AE22))</f>
        <v>46713</v>
      </c>
      <c r="AG22" s="5"/>
      <c r="AH22" s="36" t="s">
        <v>161</v>
      </c>
      <c r="AI22" s="32">
        <v>46233</v>
      </c>
      <c r="AJ22" s="38" t="s">
        <v>654</v>
      </c>
      <c r="AK22" s="4">
        <v>1</v>
      </c>
      <c r="AL22" s="4" t="s">
        <v>674</v>
      </c>
      <c r="AM22" s="32">
        <v>45161</v>
      </c>
      <c r="AN22" s="32">
        <v>45161</v>
      </c>
      <c r="AO22" s="4"/>
      <c r="AP22" s="22">
        <v>44856</v>
      </c>
      <c r="AQ22" s="34">
        <v>46687</v>
      </c>
      <c r="AR22" s="22" t="s">
        <v>163</v>
      </c>
      <c r="AS22" s="22" t="s">
        <v>162</v>
      </c>
      <c r="AT22" s="32">
        <v>46233</v>
      </c>
      <c r="AU22" s="38" t="s">
        <v>654</v>
      </c>
      <c r="AV22" s="5">
        <v>1</v>
      </c>
      <c r="AW22" s="5" t="s">
        <v>677</v>
      </c>
      <c r="AX22" s="32">
        <v>45161</v>
      </c>
      <c r="AY22" s="32">
        <v>45161</v>
      </c>
      <c r="AZ22" s="5"/>
      <c r="BA22" s="22">
        <v>44703</v>
      </c>
      <c r="BB22" s="34">
        <v>46529</v>
      </c>
      <c r="BC22" s="22" t="s">
        <v>163</v>
      </c>
      <c r="BD22" s="34" t="s">
        <v>1210</v>
      </c>
      <c r="BE22" s="32">
        <v>46233</v>
      </c>
      <c r="BF22" s="38" t="s">
        <v>654</v>
      </c>
      <c r="BG22" s="5">
        <v>1</v>
      </c>
      <c r="BH22" s="5" t="s">
        <v>680</v>
      </c>
      <c r="BI22" s="32">
        <v>45161</v>
      </c>
      <c r="BJ22" s="32">
        <v>45161</v>
      </c>
      <c r="BK22" s="5"/>
      <c r="BL22" s="22">
        <v>44703</v>
      </c>
      <c r="BM22" s="34">
        <v>46529</v>
      </c>
      <c r="BN22" s="22" t="s">
        <v>163</v>
      </c>
      <c r="BO22" s="22" t="s">
        <v>164</v>
      </c>
      <c r="BP22" s="32">
        <v>46233</v>
      </c>
      <c r="BQ22" s="38" t="s">
        <v>654</v>
      </c>
      <c r="BR22" s="5">
        <v>1</v>
      </c>
      <c r="BS22" s="5" t="s">
        <v>683</v>
      </c>
      <c r="BT22" s="32">
        <v>45161</v>
      </c>
      <c r="BU22" s="32">
        <v>45161</v>
      </c>
      <c r="BV22" s="5"/>
      <c r="BW22" s="23">
        <v>44483</v>
      </c>
      <c r="BX22" s="34">
        <v>46674</v>
      </c>
      <c r="BY22" s="22" t="s">
        <v>163</v>
      </c>
      <c r="BZ22" s="23" t="s">
        <v>165</v>
      </c>
      <c r="CA22" s="32">
        <v>46233</v>
      </c>
      <c r="CB22" s="38" t="s">
        <v>654</v>
      </c>
      <c r="CC22" s="23"/>
      <c r="CD22" s="23"/>
      <c r="CE22" s="23"/>
      <c r="CF22" s="23"/>
      <c r="CG22" s="23"/>
      <c r="CH22" s="23"/>
      <c r="CI22" s="31">
        <v>1</v>
      </c>
      <c r="CJ22" s="31" t="s">
        <v>686</v>
      </c>
      <c r="CK22" s="32">
        <v>45577</v>
      </c>
      <c r="CL22" s="32">
        <v>45577</v>
      </c>
      <c r="CM22" s="32">
        <v>46233</v>
      </c>
      <c r="CN22" s="38" t="s">
        <v>654</v>
      </c>
      <c r="CO22" s="4">
        <v>0</v>
      </c>
      <c r="CP22" s="4"/>
      <c r="CQ22" s="39"/>
      <c r="CR22" s="39"/>
      <c r="CS22" s="39"/>
      <c r="CT22" s="39"/>
      <c r="CU22" s="4">
        <v>0</v>
      </c>
      <c r="CV22" s="4"/>
      <c r="CW22" s="39"/>
      <c r="CX22" s="38"/>
      <c r="CY22" s="33"/>
      <c r="CZ22" s="34"/>
      <c r="DA22" s="31"/>
      <c r="DB22" s="31"/>
      <c r="DC22" s="31"/>
      <c r="DD22" s="31"/>
      <c r="DE22" s="4">
        <v>0</v>
      </c>
      <c r="DF22" s="4"/>
      <c r="DG22" s="4"/>
      <c r="DH22" s="4"/>
      <c r="DI22" s="4"/>
      <c r="DJ22" s="4"/>
      <c r="DK22" s="4">
        <v>0</v>
      </c>
      <c r="DL22" s="4"/>
      <c r="DM22" s="4"/>
      <c r="DN22" s="4"/>
      <c r="DO22" s="4"/>
      <c r="DP22" s="4"/>
      <c r="DQ22" s="31">
        <v>0</v>
      </c>
      <c r="DR22" s="31"/>
      <c r="DS22" s="32"/>
      <c r="DT22" s="32"/>
      <c r="DU22" s="32"/>
      <c r="DV22" s="32"/>
      <c r="DW22" s="4">
        <v>0</v>
      </c>
      <c r="DX22" s="4"/>
      <c r="DY22" s="4"/>
      <c r="DZ22" s="4"/>
      <c r="EA22" s="4"/>
      <c r="EB22" s="4"/>
      <c r="EC22" s="4">
        <v>0</v>
      </c>
      <c r="ED22" s="4"/>
      <c r="EE22" s="4"/>
      <c r="EF22" s="4">
        <v>0</v>
      </c>
      <c r="EG22" s="4"/>
      <c r="EH22" s="4"/>
      <c r="EI22" s="4"/>
      <c r="EJ22" s="26"/>
      <c r="EK22" s="26"/>
      <c r="EL22" s="26"/>
    </row>
    <row r="23" spans="1:142" hidden="1">
      <c r="A23" s="11">
        <v>20</v>
      </c>
      <c r="B23" s="104">
        <v>11839</v>
      </c>
      <c r="C23" s="5" t="s">
        <v>218</v>
      </c>
      <c r="D23" s="4">
        <v>1313088452</v>
      </c>
      <c r="E23" s="4" t="s">
        <v>44</v>
      </c>
      <c r="F23" s="26" t="s">
        <v>171</v>
      </c>
      <c r="G23" s="5" t="s">
        <v>47</v>
      </c>
      <c r="H23" s="4">
        <v>1</v>
      </c>
      <c r="I23" s="4" t="s">
        <v>634</v>
      </c>
      <c r="J23" s="38">
        <f t="shared" si="10"/>
        <v>45818</v>
      </c>
      <c r="K23" s="32">
        <v>45818</v>
      </c>
      <c r="L23" s="32">
        <v>46200</v>
      </c>
      <c r="M23" s="38" t="s">
        <v>404</v>
      </c>
      <c r="N23" s="4">
        <v>1</v>
      </c>
      <c r="O23" s="4" t="s">
        <v>645</v>
      </c>
      <c r="P23" s="32">
        <f t="shared" si="1"/>
        <v>45927</v>
      </c>
      <c r="Q23" s="38">
        <v>45927</v>
      </c>
      <c r="R23" s="32">
        <v>46200</v>
      </c>
      <c r="S23" s="38" t="s">
        <v>404</v>
      </c>
      <c r="T23" s="4">
        <v>1</v>
      </c>
      <c r="U23" s="4" t="s">
        <v>662</v>
      </c>
      <c r="V23" s="38">
        <f t="shared" si="11"/>
        <v>45860</v>
      </c>
      <c r="W23" s="39">
        <v>45860</v>
      </c>
      <c r="X23" s="32">
        <v>46200</v>
      </c>
      <c r="Y23" s="39" t="s">
        <v>654</v>
      </c>
      <c r="Z23" s="5">
        <v>0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4">
        <v>0</v>
      </c>
      <c r="AL23" s="4"/>
      <c r="AM23" s="4"/>
      <c r="AN23" s="5"/>
      <c r="AO23" s="4"/>
      <c r="AP23" s="4"/>
      <c r="AQ23" s="4"/>
      <c r="AR23" s="4"/>
      <c r="AS23" s="4"/>
      <c r="AT23" s="5"/>
      <c r="AU23" s="5"/>
      <c r="AV23" s="5">
        <v>0</v>
      </c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0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>
        <v>0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4">
        <v>0</v>
      </c>
      <c r="CJ23" s="4"/>
      <c r="CK23" s="4"/>
      <c r="CL23" s="4"/>
      <c r="CM23" s="5"/>
      <c r="CN23" s="5"/>
      <c r="CO23" s="4">
        <v>0</v>
      </c>
      <c r="CP23" s="4"/>
      <c r="CQ23" s="39"/>
      <c r="CR23" s="39"/>
      <c r="CS23" s="39"/>
      <c r="CT23" s="39"/>
      <c r="CU23" s="4">
        <v>0</v>
      </c>
      <c r="CV23" s="4"/>
      <c r="CW23" s="39"/>
      <c r="CX23" s="38"/>
      <c r="CY23" s="33"/>
      <c r="CZ23" s="34"/>
      <c r="DA23" s="31"/>
      <c r="DB23" s="31"/>
      <c r="DC23" s="31"/>
      <c r="DD23" s="31"/>
      <c r="DE23" s="4">
        <v>0</v>
      </c>
      <c r="DF23" s="4"/>
      <c r="DG23" s="4"/>
      <c r="DH23" s="4"/>
      <c r="DI23" s="4"/>
      <c r="DJ23" s="4"/>
      <c r="DK23" s="4">
        <v>0</v>
      </c>
      <c r="DL23" s="4"/>
      <c r="DM23" s="4"/>
      <c r="DN23" s="4"/>
      <c r="DO23" s="4"/>
      <c r="DP23" s="4"/>
      <c r="DQ23" s="31">
        <v>0</v>
      </c>
      <c r="DR23" s="31"/>
      <c r="DS23" s="32"/>
      <c r="DT23" s="32"/>
      <c r="DU23" s="32"/>
      <c r="DV23" s="32"/>
      <c r="DW23" s="4">
        <v>0</v>
      </c>
      <c r="DX23" s="4"/>
      <c r="DY23" s="32"/>
      <c r="DZ23" s="32"/>
      <c r="EA23" s="32"/>
      <c r="EB23" s="32"/>
      <c r="EC23" s="4">
        <v>0</v>
      </c>
      <c r="ED23" s="4"/>
      <c r="EE23" s="4"/>
      <c r="EF23" s="4">
        <v>0</v>
      </c>
      <c r="EG23" s="4"/>
      <c r="EH23" s="4"/>
      <c r="EI23" s="4"/>
      <c r="EJ23" s="26"/>
      <c r="EK23" s="26"/>
      <c r="EL23" s="26"/>
    </row>
    <row r="24" spans="1:142" hidden="1">
      <c r="A24" s="11">
        <v>21</v>
      </c>
      <c r="B24" s="104">
        <v>11036</v>
      </c>
      <c r="C24" s="5" t="s">
        <v>52</v>
      </c>
      <c r="D24" s="4">
        <v>1313088297</v>
      </c>
      <c r="E24" s="3" t="s">
        <v>35</v>
      </c>
      <c r="F24" s="26" t="s">
        <v>171</v>
      </c>
      <c r="G24" s="5" t="s">
        <v>47</v>
      </c>
      <c r="H24" s="4">
        <v>1</v>
      </c>
      <c r="I24" s="4" t="s">
        <v>635</v>
      </c>
      <c r="J24" s="38">
        <f t="shared" si="10"/>
        <v>45818</v>
      </c>
      <c r="K24" s="32">
        <v>45818</v>
      </c>
      <c r="L24" s="32">
        <v>46200</v>
      </c>
      <c r="M24" s="32" t="s">
        <v>405</v>
      </c>
      <c r="N24" s="4">
        <v>1</v>
      </c>
      <c r="O24" s="4" t="s">
        <v>646</v>
      </c>
      <c r="P24" s="32">
        <f t="shared" si="1"/>
        <v>45927</v>
      </c>
      <c r="Q24" s="38">
        <v>45927</v>
      </c>
      <c r="R24" s="32">
        <v>46200</v>
      </c>
      <c r="S24" s="38" t="s">
        <v>404</v>
      </c>
      <c r="T24" s="4">
        <v>1</v>
      </c>
      <c r="U24" s="4" t="s">
        <v>663</v>
      </c>
      <c r="V24" s="38">
        <f t="shared" si="11"/>
        <v>45132</v>
      </c>
      <c r="W24" s="38">
        <v>45132</v>
      </c>
      <c r="X24" s="32">
        <v>46200</v>
      </c>
      <c r="Y24" s="38" t="s">
        <v>654</v>
      </c>
      <c r="Z24" s="4">
        <v>0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>
        <v>0</v>
      </c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>
        <v>0</v>
      </c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>
        <v>0</v>
      </c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>
        <v>0</v>
      </c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>
        <v>0</v>
      </c>
      <c r="CJ24" s="4"/>
      <c r="CK24" s="4"/>
      <c r="CL24" s="4"/>
      <c r="CM24" s="4"/>
      <c r="CN24" s="4"/>
      <c r="CO24" s="4">
        <v>0</v>
      </c>
      <c r="CP24" s="4"/>
      <c r="CQ24" s="39"/>
      <c r="CR24" s="39"/>
      <c r="CS24" s="39"/>
      <c r="CT24" s="39"/>
      <c r="CU24" s="4">
        <v>0</v>
      </c>
      <c r="CV24" s="4"/>
      <c r="CW24" s="39"/>
      <c r="CX24" s="38"/>
      <c r="CY24" s="33"/>
      <c r="CZ24" s="34"/>
      <c r="DA24" s="31"/>
      <c r="DB24" s="31"/>
      <c r="DC24" s="31"/>
      <c r="DD24" s="31"/>
      <c r="DE24" s="4">
        <v>0</v>
      </c>
      <c r="DF24" s="4"/>
      <c r="DG24" s="4"/>
      <c r="DH24" s="4"/>
      <c r="DI24" s="4"/>
      <c r="DJ24" s="4"/>
      <c r="DK24" s="4">
        <v>0</v>
      </c>
      <c r="DL24" s="4"/>
      <c r="DM24" s="4"/>
      <c r="DN24" s="4"/>
      <c r="DO24" s="4"/>
      <c r="DP24" s="4"/>
      <c r="DQ24" s="31">
        <v>0</v>
      </c>
      <c r="DR24" s="31"/>
      <c r="DS24" s="32"/>
      <c r="DT24" s="32"/>
      <c r="DU24" s="32"/>
      <c r="DV24" s="32"/>
      <c r="DW24" s="4">
        <v>0</v>
      </c>
      <c r="DX24" s="4"/>
      <c r="DY24" s="32"/>
      <c r="DZ24" s="32"/>
      <c r="EA24" s="32"/>
      <c r="EB24" s="32"/>
      <c r="EC24" s="4">
        <v>0</v>
      </c>
      <c r="ED24" s="4"/>
      <c r="EE24" s="4"/>
      <c r="EF24" s="4">
        <v>0</v>
      </c>
      <c r="EG24" s="4"/>
      <c r="EH24" s="4"/>
      <c r="EI24" s="4"/>
      <c r="EJ24" s="26"/>
      <c r="EK24" s="26"/>
      <c r="EL24" s="26"/>
    </row>
    <row r="25" spans="1:142" hidden="1">
      <c r="A25" s="11">
        <v>22</v>
      </c>
      <c r="B25" s="110">
        <v>11871</v>
      </c>
      <c r="C25" s="131" t="s">
        <v>1213</v>
      </c>
      <c r="D25" s="4">
        <v>1313438555</v>
      </c>
      <c r="E25" s="3" t="s">
        <v>30</v>
      </c>
      <c r="F25" s="26" t="s">
        <v>214</v>
      </c>
      <c r="G25" s="5" t="s">
        <v>47</v>
      </c>
      <c r="H25" s="4">
        <v>0</v>
      </c>
      <c r="I25" s="4"/>
      <c r="J25" s="38"/>
      <c r="K25" s="32"/>
      <c r="L25" s="38"/>
      <c r="M25" s="32"/>
      <c r="N25" s="4">
        <v>1</v>
      </c>
      <c r="O25" s="4" t="s">
        <v>647</v>
      </c>
      <c r="P25" s="32">
        <f t="shared" si="1"/>
        <v>45161</v>
      </c>
      <c r="Q25" s="32">
        <v>45161</v>
      </c>
      <c r="R25" s="38">
        <v>46233</v>
      </c>
      <c r="S25" s="38" t="s">
        <v>404</v>
      </c>
      <c r="T25" s="4">
        <v>1</v>
      </c>
      <c r="U25" s="4" t="s">
        <v>664</v>
      </c>
      <c r="V25" s="38">
        <f t="shared" si="11"/>
        <v>45453</v>
      </c>
      <c r="W25" s="38">
        <v>45453</v>
      </c>
      <c r="X25" s="38">
        <v>46233</v>
      </c>
      <c r="Y25" s="32" t="s">
        <v>404</v>
      </c>
      <c r="Z25" s="5">
        <v>1</v>
      </c>
      <c r="AA25" s="5" t="s">
        <v>672</v>
      </c>
      <c r="AB25" s="32">
        <f t="shared" ref="AB25" si="15">AC25</f>
        <v>45161</v>
      </c>
      <c r="AC25" s="32">
        <v>45161</v>
      </c>
      <c r="AD25" s="5"/>
      <c r="AE25" s="22">
        <v>44887</v>
      </c>
      <c r="AF25" s="22">
        <f>DATE(YEAR(AE25)+5,MONTH(AE25),DAY(AE25))</f>
        <v>46713</v>
      </c>
      <c r="AG25" s="5"/>
      <c r="AH25" s="36" t="s">
        <v>161</v>
      </c>
      <c r="AI25" s="32">
        <v>46233</v>
      </c>
      <c r="AJ25" s="38" t="s">
        <v>654</v>
      </c>
      <c r="AK25" s="4">
        <v>1</v>
      </c>
      <c r="AL25" s="4" t="s">
        <v>675</v>
      </c>
      <c r="AM25" s="32">
        <v>45161</v>
      </c>
      <c r="AN25" s="32">
        <v>45161</v>
      </c>
      <c r="AO25" s="4"/>
      <c r="AP25" s="22">
        <v>44856</v>
      </c>
      <c r="AQ25" s="34">
        <v>46687</v>
      </c>
      <c r="AR25" s="22" t="s">
        <v>163</v>
      </c>
      <c r="AS25" s="22" t="s">
        <v>162</v>
      </c>
      <c r="AT25" s="32">
        <v>46233</v>
      </c>
      <c r="AU25" s="38" t="s">
        <v>654</v>
      </c>
      <c r="AV25" s="5">
        <v>1</v>
      </c>
      <c r="AW25" s="5" t="s">
        <v>678</v>
      </c>
      <c r="AX25" s="32">
        <v>45161</v>
      </c>
      <c r="AY25" s="32">
        <v>45161</v>
      </c>
      <c r="AZ25" s="5"/>
      <c r="BA25" s="22">
        <v>44703</v>
      </c>
      <c r="BB25" s="34">
        <v>46529</v>
      </c>
      <c r="BC25" s="22" t="s">
        <v>163</v>
      </c>
      <c r="BD25" s="34" t="s">
        <v>1210</v>
      </c>
      <c r="BE25" s="32">
        <v>46233</v>
      </c>
      <c r="BF25" s="38" t="s">
        <v>654</v>
      </c>
      <c r="BG25" s="5">
        <v>1</v>
      </c>
      <c r="BH25" s="5" t="s">
        <v>681</v>
      </c>
      <c r="BI25" s="32">
        <v>45161</v>
      </c>
      <c r="BJ25" s="32">
        <v>45161</v>
      </c>
      <c r="BK25" s="5"/>
      <c r="BL25" s="22">
        <v>44703</v>
      </c>
      <c r="BM25" s="34">
        <v>46529</v>
      </c>
      <c r="BN25" s="22" t="s">
        <v>163</v>
      </c>
      <c r="BO25" s="22" t="s">
        <v>164</v>
      </c>
      <c r="BP25" s="32">
        <v>46233</v>
      </c>
      <c r="BQ25" s="38" t="s">
        <v>654</v>
      </c>
      <c r="BR25" s="5">
        <v>1</v>
      </c>
      <c r="BS25" s="5" t="s">
        <v>684</v>
      </c>
      <c r="BT25" s="32">
        <v>45161</v>
      </c>
      <c r="BU25" s="32">
        <v>45161</v>
      </c>
      <c r="BV25" s="5"/>
      <c r="BW25" s="23">
        <v>44483</v>
      </c>
      <c r="BX25" s="34">
        <v>46674</v>
      </c>
      <c r="BY25" s="22" t="s">
        <v>163</v>
      </c>
      <c r="BZ25" s="23" t="s">
        <v>165</v>
      </c>
      <c r="CA25" s="32">
        <v>46233</v>
      </c>
      <c r="CB25" s="38" t="s">
        <v>654</v>
      </c>
      <c r="CC25" s="23"/>
      <c r="CD25" s="23"/>
      <c r="CE25" s="23"/>
      <c r="CF25" s="23"/>
      <c r="CG25" s="23"/>
      <c r="CH25" s="23"/>
      <c r="CI25" s="31">
        <v>1</v>
      </c>
      <c r="CJ25" s="31" t="s">
        <v>687</v>
      </c>
      <c r="CK25" s="32">
        <v>45577</v>
      </c>
      <c r="CL25" s="32">
        <v>45577</v>
      </c>
      <c r="CM25" s="32">
        <v>46233</v>
      </c>
      <c r="CN25" s="38" t="s">
        <v>654</v>
      </c>
      <c r="CO25" s="4">
        <v>0</v>
      </c>
      <c r="CP25" s="4"/>
      <c r="CQ25" s="39"/>
      <c r="CR25" s="39"/>
      <c r="CS25" s="39"/>
      <c r="CT25" s="39"/>
      <c r="CU25" s="4">
        <v>0</v>
      </c>
      <c r="CV25" s="4"/>
      <c r="CW25" s="32"/>
      <c r="CX25" s="38"/>
      <c r="CY25" s="33"/>
      <c r="CZ25" s="34"/>
      <c r="DA25" s="31"/>
      <c r="DB25" s="31"/>
      <c r="DC25" s="31"/>
      <c r="DD25" s="31"/>
      <c r="DE25" s="4">
        <v>0</v>
      </c>
      <c r="DF25" s="4"/>
      <c r="DG25" s="4"/>
      <c r="DH25" s="4"/>
      <c r="DI25" s="4"/>
      <c r="DJ25" s="4"/>
      <c r="DK25" s="4">
        <v>0</v>
      </c>
      <c r="DL25" s="4"/>
      <c r="DM25" s="4"/>
      <c r="DN25" s="4"/>
      <c r="DO25" s="4"/>
      <c r="DP25" s="4"/>
      <c r="DQ25" s="31">
        <v>0</v>
      </c>
      <c r="DR25" s="31"/>
      <c r="DS25" s="32"/>
      <c r="DT25" s="32"/>
      <c r="DU25" s="32"/>
      <c r="DV25" s="32"/>
      <c r="DW25" s="4">
        <v>0</v>
      </c>
      <c r="DX25" s="4"/>
      <c r="DY25" s="4"/>
      <c r="DZ25" s="4"/>
      <c r="EA25" s="4"/>
      <c r="EB25" s="4"/>
      <c r="EC25" s="4">
        <v>0</v>
      </c>
      <c r="ED25" s="4"/>
      <c r="EE25" s="4"/>
      <c r="EF25" s="4">
        <v>0</v>
      </c>
      <c r="EG25" s="4"/>
      <c r="EH25" s="4"/>
      <c r="EI25" s="4"/>
      <c r="EJ25" s="26"/>
      <c r="EK25" s="26"/>
      <c r="EL25" s="26"/>
    </row>
    <row r="26" spans="1:142" hidden="1">
      <c r="A26" s="11">
        <v>23</v>
      </c>
      <c r="B26" s="104">
        <v>11720</v>
      </c>
      <c r="C26" s="5" t="s">
        <v>197</v>
      </c>
      <c r="D26" s="4">
        <v>1313438548</v>
      </c>
      <c r="E26" s="4" t="s">
        <v>53</v>
      </c>
      <c r="F26" s="26" t="s">
        <v>171</v>
      </c>
      <c r="G26" s="5" t="s">
        <v>47</v>
      </c>
      <c r="H26" s="4">
        <v>1</v>
      </c>
      <c r="I26" s="4" t="s">
        <v>636</v>
      </c>
      <c r="J26" s="38">
        <f t="shared" si="10"/>
        <v>45818</v>
      </c>
      <c r="K26" s="32">
        <v>45818</v>
      </c>
      <c r="L26" s="32">
        <v>46200</v>
      </c>
      <c r="M26" s="32" t="s">
        <v>626</v>
      </c>
      <c r="N26" s="4">
        <v>1</v>
      </c>
      <c r="O26" s="4" t="s">
        <v>648</v>
      </c>
      <c r="P26" s="32">
        <f t="shared" si="1"/>
        <v>45927</v>
      </c>
      <c r="Q26" s="38">
        <v>45927</v>
      </c>
      <c r="R26" s="32">
        <v>46200</v>
      </c>
      <c r="S26" s="38" t="s">
        <v>404</v>
      </c>
      <c r="T26" s="4">
        <v>1</v>
      </c>
      <c r="U26" s="4" t="s">
        <v>656</v>
      </c>
      <c r="V26" s="38">
        <f t="shared" si="11"/>
        <v>45860</v>
      </c>
      <c r="W26" s="38">
        <v>45860</v>
      </c>
      <c r="X26" s="32">
        <v>46200</v>
      </c>
      <c r="Y26" s="38" t="s">
        <v>654</v>
      </c>
      <c r="Z26" s="4">
        <v>0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>
        <v>0</v>
      </c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>
        <v>0</v>
      </c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>
        <v>0</v>
      </c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>
        <v>0</v>
      </c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>
        <v>0</v>
      </c>
      <c r="CJ26" s="4"/>
      <c r="CK26" s="4"/>
      <c r="CL26" s="4"/>
      <c r="CM26" s="4"/>
      <c r="CN26" s="4"/>
      <c r="CO26" s="4">
        <v>0</v>
      </c>
      <c r="CP26" s="4"/>
      <c r="CQ26" s="39"/>
      <c r="CR26" s="39"/>
      <c r="CS26" s="39"/>
      <c r="CT26" s="39"/>
      <c r="CU26" s="4">
        <v>0</v>
      </c>
      <c r="CV26" s="4"/>
      <c r="CW26" s="32"/>
      <c r="CX26" s="38"/>
      <c r="CY26" s="33"/>
      <c r="CZ26" s="34"/>
      <c r="DA26" s="31"/>
      <c r="DB26" s="31"/>
      <c r="DC26" s="31"/>
      <c r="DD26" s="31"/>
      <c r="DE26" s="4">
        <v>0</v>
      </c>
      <c r="DF26" s="4"/>
      <c r="DG26" s="4"/>
      <c r="DH26" s="4"/>
      <c r="DI26" s="4"/>
      <c r="DJ26" s="4"/>
      <c r="DK26" s="4">
        <v>0</v>
      </c>
      <c r="DL26" s="4"/>
      <c r="DM26" s="4"/>
      <c r="DN26" s="4"/>
      <c r="DO26" s="4"/>
      <c r="DP26" s="4"/>
      <c r="DQ26" s="31">
        <v>1</v>
      </c>
      <c r="DR26" s="31" t="s">
        <v>701</v>
      </c>
      <c r="DS26" s="32">
        <v>45394</v>
      </c>
      <c r="DT26" s="32">
        <f t="shared" si="4"/>
        <v>45394</v>
      </c>
      <c r="DU26" s="38">
        <v>46052</v>
      </c>
      <c r="DV26" s="38" t="s">
        <v>654</v>
      </c>
      <c r="DW26" s="4">
        <v>0</v>
      </c>
      <c r="DX26" s="4"/>
      <c r="DY26" s="4"/>
      <c r="DZ26" s="4"/>
      <c r="EA26" s="4"/>
      <c r="EB26" s="4"/>
      <c r="EC26" s="4">
        <v>0</v>
      </c>
      <c r="ED26" s="4"/>
      <c r="EE26" s="4"/>
      <c r="EF26" s="4">
        <v>0</v>
      </c>
      <c r="EG26" s="4"/>
      <c r="EH26" s="4"/>
      <c r="EI26" s="4"/>
      <c r="EJ26" s="26"/>
      <c r="EK26" s="26"/>
      <c r="EL26" s="26"/>
    </row>
    <row r="27" spans="1:142" hidden="1">
      <c r="A27" s="11">
        <v>24</v>
      </c>
      <c r="B27" s="104">
        <v>11120</v>
      </c>
      <c r="C27" s="5" t="s">
        <v>54</v>
      </c>
      <c r="D27" s="4">
        <v>1313088252</v>
      </c>
      <c r="E27" s="3" t="s">
        <v>41</v>
      </c>
      <c r="F27" s="26" t="s">
        <v>171</v>
      </c>
      <c r="G27" s="5" t="s">
        <v>47</v>
      </c>
      <c r="H27" s="4">
        <v>1</v>
      </c>
      <c r="I27" s="4" t="s">
        <v>637</v>
      </c>
      <c r="J27" s="38">
        <f t="shared" si="10"/>
        <v>45818</v>
      </c>
      <c r="K27" s="32">
        <v>45818</v>
      </c>
      <c r="L27" s="32">
        <v>46200</v>
      </c>
      <c r="M27" s="32" t="s">
        <v>626</v>
      </c>
      <c r="N27" s="4">
        <v>1</v>
      </c>
      <c r="O27" s="4" t="s">
        <v>649</v>
      </c>
      <c r="P27" s="32">
        <f t="shared" si="1"/>
        <v>45927</v>
      </c>
      <c r="Q27" s="38">
        <v>45927</v>
      </c>
      <c r="R27" s="32">
        <v>46200</v>
      </c>
      <c r="S27" s="38" t="s">
        <v>404</v>
      </c>
      <c r="T27" s="4">
        <v>1</v>
      </c>
      <c r="U27" s="4" t="s">
        <v>665</v>
      </c>
      <c r="V27" s="38">
        <f t="shared" si="11"/>
        <v>45132</v>
      </c>
      <c r="W27" s="38">
        <v>45132</v>
      </c>
      <c r="X27" s="32">
        <v>46200</v>
      </c>
      <c r="Y27" s="32" t="s">
        <v>405</v>
      </c>
      <c r="Z27" s="4">
        <v>0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>
        <v>0</v>
      </c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>
        <v>0</v>
      </c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>
        <v>0</v>
      </c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>
        <v>0</v>
      </c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>
        <v>0</v>
      </c>
      <c r="CJ27" s="4"/>
      <c r="CK27" s="4"/>
      <c r="CL27" s="4"/>
      <c r="CM27" s="4"/>
      <c r="CN27" s="4"/>
      <c r="CO27" s="4">
        <v>1</v>
      </c>
      <c r="CP27" s="4" t="s">
        <v>690</v>
      </c>
      <c r="CQ27" s="39">
        <v>45818</v>
      </c>
      <c r="CR27" s="39">
        <f t="shared" si="13"/>
        <v>45818</v>
      </c>
      <c r="CS27" s="32">
        <v>46200</v>
      </c>
      <c r="CT27" s="38" t="s">
        <v>654</v>
      </c>
      <c r="CU27" s="4">
        <v>1</v>
      </c>
      <c r="CV27" s="4" t="s">
        <v>694</v>
      </c>
      <c r="CW27" s="32">
        <v>45527</v>
      </c>
      <c r="CX27" s="38">
        <f t="shared" ref="CX27:CX28" si="16">CW27</f>
        <v>45527</v>
      </c>
      <c r="CY27" s="33">
        <v>45658</v>
      </c>
      <c r="CZ27" s="34">
        <v>46388</v>
      </c>
      <c r="DA27" s="31" t="s">
        <v>166</v>
      </c>
      <c r="DB27" s="31" t="s">
        <v>167</v>
      </c>
      <c r="DC27" s="32">
        <v>46200</v>
      </c>
      <c r="DD27" s="38" t="s">
        <v>654</v>
      </c>
      <c r="DE27" s="4">
        <v>1</v>
      </c>
      <c r="DF27" s="4" t="s">
        <v>697</v>
      </c>
      <c r="DG27" s="39">
        <v>45732</v>
      </c>
      <c r="DH27" s="32">
        <f>DG27</f>
        <v>45732</v>
      </c>
      <c r="DI27" s="38">
        <v>46052</v>
      </c>
      <c r="DJ27" s="38" t="s">
        <v>654</v>
      </c>
      <c r="DK27" s="4">
        <v>0</v>
      </c>
      <c r="DL27" s="4"/>
      <c r="DM27" s="4"/>
      <c r="DN27" s="4"/>
      <c r="DO27" s="4"/>
      <c r="DP27" s="4"/>
      <c r="DQ27" s="31">
        <v>1</v>
      </c>
      <c r="DR27" s="31" t="s">
        <v>702</v>
      </c>
      <c r="DS27" s="32">
        <v>45394</v>
      </c>
      <c r="DT27" s="32">
        <f t="shared" si="4"/>
        <v>45394</v>
      </c>
      <c r="DU27" s="38">
        <v>46052</v>
      </c>
      <c r="DV27" s="38" t="s">
        <v>654</v>
      </c>
      <c r="DW27" s="4">
        <v>1</v>
      </c>
      <c r="DX27" s="4" t="s">
        <v>707</v>
      </c>
      <c r="DY27" s="32">
        <v>45527</v>
      </c>
      <c r="DZ27" s="32">
        <f t="shared" ref="DZ27" si="17">DY27</f>
        <v>45527</v>
      </c>
      <c r="EA27" s="38">
        <v>46052</v>
      </c>
      <c r="EB27" s="38" t="s">
        <v>654</v>
      </c>
      <c r="EC27" s="4">
        <v>0</v>
      </c>
      <c r="ED27" s="4"/>
      <c r="EE27" s="4"/>
      <c r="EF27" s="4">
        <v>0</v>
      </c>
      <c r="EG27" s="4"/>
      <c r="EH27" s="4"/>
      <c r="EI27" s="4"/>
      <c r="EJ27" s="26"/>
      <c r="EK27" s="26"/>
      <c r="EL27" s="26"/>
    </row>
    <row r="28" spans="1:142" hidden="1">
      <c r="A28" s="11">
        <v>25</v>
      </c>
      <c r="B28" s="109">
        <v>11765</v>
      </c>
      <c r="C28" s="5" t="s">
        <v>198</v>
      </c>
      <c r="D28" s="3">
        <v>1313438703</v>
      </c>
      <c r="E28" s="3" t="s">
        <v>41</v>
      </c>
      <c r="F28" s="26" t="s">
        <v>171</v>
      </c>
      <c r="G28" s="5" t="s">
        <v>47</v>
      </c>
      <c r="H28" s="4">
        <v>1</v>
      </c>
      <c r="I28" s="4" t="s">
        <v>638</v>
      </c>
      <c r="J28" s="38">
        <f t="shared" si="10"/>
        <v>45498</v>
      </c>
      <c r="K28" s="38">
        <v>45498</v>
      </c>
      <c r="L28" s="32">
        <v>46200</v>
      </c>
      <c r="M28" s="38" t="s">
        <v>626</v>
      </c>
      <c r="N28" s="4">
        <v>1</v>
      </c>
      <c r="O28" s="4" t="s">
        <v>650</v>
      </c>
      <c r="P28" s="32">
        <f t="shared" si="1"/>
        <v>45927</v>
      </c>
      <c r="Q28" s="38">
        <v>45927</v>
      </c>
      <c r="R28" s="32">
        <v>46200</v>
      </c>
      <c r="S28" s="38" t="s">
        <v>404</v>
      </c>
      <c r="T28" s="4">
        <v>1</v>
      </c>
      <c r="U28" s="4" t="s">
        <v>666</v>
      </c>
      <c r="V28" s="38">
        <f t="shared" si="11"/>
        <v>45453</v>
      </c>
      <c r="W28" s="38">
        <v>45453</v>
      </c>
      <c r="X28" s="32">
        <v>46200</v>
      </c>
      <c r="Y28" s="38" t="s">
        <v>654</v>
      </c>
      <c r="Z28" s="4">
        <v>0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>
        <v>0</v>
      </c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>
        <v>0</v>
      </c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>
        <v>0</v>
      </c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>
        <v>0</v>
      </c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>
        <v>0</v>
      </c>
      <c r="CJ28" s="4"/>
      <c r="CK28" s="4"/>
      <c r="CL28" s="4"/>
      <c r="CM28" s="4"/>
      <c r="CN28" s="4"/>
      <c r="CO28" s="4">
        <v>0</v>
      </c>
      <c r="CP28" s="4"/>
      <c r="CQ28" s="39"/>
      <c r="CR28" s="39"/>
      <c r="CS28" s="39"/>
      <c r="CT28" s="39"/>
      <c r="CU28" s="4">
        <v>1</v>
      </c>
      <c r="CV28" s="4" t="s">
        <v>695</v>
      </c>
      <c r="CW28" s="32">
        <v>45527</v>
      </c>
      <c r="CX28" s="38">
        <f t="shared" si="16"/>
        <v>45527</v>
      </c>
      <c r="CY28" s="33">
        <v>45658</v>
      </c>
      <c r="CZ28" s="34">
        <v>46388</v>
      </c>
      <c r="DA28" s="31" t="s">
        <v>166</v>
      </c>
      <c r="DB28" s="31" t="s">
        <v>167</v>
      </c>
      <c r="DC28" s="32">
        <v>46200</v>
      </c>
      <c r="DD28" s="38" t="s">
        <v>654</v>
      </c>
      <c r="DE28" s="4">
        <v>0</v>
      </c>
      <c r="DF28" s="4"/>
      <c r="DG28" s="4"/>
      <c r="DH28" s="4"/>
      <c r="DI28" s="4"/>
      <c r="DJ28" s="4"/>
      <c r="DK28" s="4">
        <v>0</v>
      </c>
      <c r="DL28" s="4"/>
      <c r="DM28" s="4"/>
      <c r="DN28" s="4"/>
      <c r="DO28" s="4"/>
      <c r="DP28" s="4"/>
      <c r="DQ28" s="31">
        <v>1</v>
      </c>
      <c r="DR28" s="31" t="s">
        <v>703</v>
      </c>
      <c r="DS28" s="32">
        <v>45394</v>
      </c>
      <c r="DT28" s="32">
        <f t="shared" si="4"/>
        <v>45394</v>
      </c>
      <c r="DU28" s="38">
        <v>46052</v>
      </c>
      <c r="DV28" s="38" t="s">
        <v>654</v>
      </c>
      <c r="DW28" s="4">
        <v>1</v>
      </c>
      <c r="DX28" s="4" t="s">
        <v>708</v>
      </c>
      <c r="DY28" s="32">
        <v>45527</v>
      </c>
      <c r="DZ28" s="32">
        <f>DY28</f>
        <v>45527</v>
      </c>
      <c r="EA28" s="38">
        <v>46052</v>
      </c>
      <c r="EB28" s="38" t="s">
        <v>654</v>
      </c>
      <c r="EC28" s="4">
        <v>0</v>
      </c>
      <c r="ED28" s="4"/>
      <c r="EE28" s="4"/>
      <c r="EF28" s="4">
        <v>0</v>
      </c>
      <c r="EG28" s="4"/>
      <c r="EH28" s="4"/>
      <c r="EI28" s="4"/>
      <c r="EJ28" s="26"/>
      <c r="EK28" s="26"/>
      <c r="EL28" s="26"/>
    </row>
    <row r="29" spans="1:142" ht="25.5" hidden="1">
      <c r="A29" s="11">
        <v>26</v>
      </c>
      <c r="B29" s="109">
        <v>11378</v>
      </c>
      <c r="C29" s="7" t="s">
        <v>56</v>
      </c>
      <c r="D29" s="5">
        <v>1313088169</v>
      </c>
      <c r="E29" s="4" t="s">
        <v>33</v>
      </c>
      <c r="F29" s="26" t="s">
        <v>171</v>
      </c>
      <c r="G29" s="5" t="s">
        <v>47</v>
      </c>
      <c r="H29" s="4">
        <v>1</v>
      </c>
      <c r="I29" s="4" t="s">
        <v>628</v>
      </c>
      <c r="J29" s="38">
        <f t="shared" si="10"/>
        <v>45498</v>
      </c>
      <c r="K29" s="38">
        <v>45498</v>
      </c>
      <c r="L29" s="32">
        <v>46200</v>
      </c>
      <c r="M29" s="38" t="s">
        <v>626</v>
      </c>
      <c r="N29" s="4">
        <v>1</v>
      </c>
      <c r="O29" s="4" t="s">
        <v>651</v>
      </c>
      <c r="P29" s="32">
        <f t="shared" si="1"/>
        <v>45925</v>
      </c>
      <c r="Q29" s="39">
        <v>45925</v>
      </c>
      <c r="R29" s="32">
        <v>46200</v>
      </c>
      <c r="S29" s="38" t="s">
        <v>404</v>
      </c>
      <c r="T29" s="4">
        <v>1</v>
      </c>
      <c r="U29" s="4" t="s">
        <v>667</v>
      </c>
      <c r="V29" s="38">
        <f t="shared" si="11"/>
        <v>45860</v>
      </c>
      <c r="W29" s="38">
        <v>45860</v>
      </c>
      <c r="X29" s="32">
        <v>46200</v>
      </c>
      <c r="Y29" s="38" t="s">
        <v>654</v>
      </c>
      <c r="Z29" s="4">
        <v>0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>
        <v>0</v>
      </c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>
        <v>0</v>
      </c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>
        <v>0</v>
      </c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>
        <v>0</v>
      </c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>
        <v>0</v>
      </c>
      <c r="CJ29" s="4"/>
      <c r="CK29" s="4"/>
      <c r="CL29" s="4"/>
      <c r="CM29" s="4"/>
      <c r="CN29" s="4"/>
      <c r="CO29" s="4">
        <v>1</v>
      </c>
      <c r="CP29" s="4" t="s">
        <v>691</v>
      </c>
      <c r="CQ29" s="39">
        <v>45557</v>
      </c>
      <c r="CR29" s="39">
        <f t="shared" si="13"/>
        <v>45557</v>
      </c>
      <c r="CS29" s="32">
        <v>46200</v>
      </c>
      <c r="CT29" s="39"/>
      <c r="CU29" s="4">
        <v>0</v>
      </c>
      <c r="CV29" s="4"/>
      <c r="CW29" s="32"/>
      <c r="CX29" s="38"/>
      <c r="CY29" s="33"/>
      <c r="CZ29" s="34"/>
      <c r="DA29" s="31"/>
      <c r="DB29" s="31"/>
      <c r="DC29" s="31"/>
      <c r="DD29" s="31"/>
      <c r="DE29" s="4">
        <v>0</v>
      </c>
      <c r="DF29" s="4"/>
      <c r="DG29" s="4"/>
      <c r="DH29" s="4"/>
      <c r="DI29" s="4"/>
      <c r="DJ29" s="4"/>
      <c r="DK29" s="4">
        <v>0</v>
      </c>
      <c r="DL29" s="4"/>
      <c r="DM29" s="4"/>
      <c r="DN29" s="4"/>
      <c r="DO29" s="4"/>
      <c r="DP29" s="4"/>
      <c r="DQ29" s="31">
        <v>1</v>
      </c>
      <c r="DR29" s="31" t="s">
        <v>704</v>
      </c>
      <c r="DS29" s="32">
        <v>45394</v>
      </c>
      <c r="DT29" s="32">
        <f t="shared" si="4"/>
        <v>45394</v>
      </c>
      <c r="DU29" s="38">
        <v>46052</v>
      </c>
      <c r="DV29" s="38" t="s">
        <v>654</v>
      </c>
      <c r="DW29" s="4">
        <v>0</v>
      </c>
      <c r="DX29" s="4"/>
      <c r="DY29" s="4"/>
      <c r="DZ29" s="4"/>
      <c r="EA29" s="4"/>
      <c r="EB29" s="4"/>
      <c r="EC29" s="4">
        <v>0</v>
      </c>
      <c r="ED29" s="4"/>
      <c r="EE29" s="4"/>
      <c r="EF29" s="4">
        <v>0</v>
      </c>
      <c r="EG29" s="4"/>
      <c r="EH29" s="43"/>
      <c r="EI29" s="43"/>
      <c r="EJ29" s="26"/>
      <c r="EK29" s="26"/>
      <c r="EL29" s="26"/>
    </row>
    <row r="30" spans="1:142" hidden="1">
      <c r="A30" s="11">
        <v>27</v>
      </c>
      <c r="B30" s="109">
        <v>11818</v>
      </c>
      <c r="C30" s="7" t="s">
        <v>199</v>
      </c>
      <c r="D30" s="4">
        <v>1313088410</v>
      </c>
      <c r="E30" s="5" t="s">
        <v>42</v>
      </c>
      <c r="F30" s="26" t="s">
        <v>171</v>
      </c>
      <c r="G30" s="5" t="s">
        <v>47</v>
      </c>
      <c r="H30" s="4">
        <v>1</v>
      </c>
      <c r="I30" s="4" t="s">
        <v>632</v>
      </c>
      <c r="J30" s="38">
        <f t="shared" si="10"/>
        <v>45498</v>
      </c>
      <c r="K30" s="38">
        <v>45498</v>
      </c>
      <c r="L30" s="32">
        <v>46200</v>
      </c>
      <c r="M30" s="38" t="s">
        <v>626</v>
      </c>
      <c r="N30" s="4">
        <v>1</v>
      </c>
      <c r="O30" s="4" t="s">
        <v>652</v>
      </c>
      <c r="P30" s="32">
        <f t="shared" si="1"/>
        <v>45927</v>
      </c>
      <c r="Q30" s="38">
        <v>45927</v>
      </c>
      <c r="R30" s="32">
        <v>46200</v>
      </c>
      <c r="S30" s="38" t="s">
        <v>404</v>
      </c>
      <c r="T30" s="4">
        <v>1</v>
      </c>
      <c r="U30" s="4" t="s">
        <v>668</v>
      </c>
      <c r="V30" s="38">
        <f t="shared" si="11"/>
        <v>45132</v>
      </c>
      <c r="W30" s="38">
        <v>45132</v>
      </c>
      <c r="X30" s="32">
        <v>46200</v>
      </c>
      <c r="Y30" s="32" t="s">
        <v>405</v>
      </c>
      <c r="Z30" s="4">
        <v>0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>
        <v>0</v>
      </c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>
        <v>0</v>
      </c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>
        <v>0</v>
      </c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>
        <v>0</v>
      </c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>
        <v>0</v>
      </c>
      <c r="CJ30" s="4"/>
      <c r="CK30" s="4"/>
      <c r="CL30" s="4"/>
      <c r="CM30" s="4"/>
      <c r="CN30" s="4"/>
      <c r="CO30" s="4">
        <v>0</v>
      </c>
      <c r="CP30" s="4"/>
      <c r="CQ30" s="39"/>
      <c r="CR30" s="39"/>
      <c r="CS30" s="39"/>
      <c r="CT30" s="39"/>
      <c r="CU30" s="4">
        <v>0</v>
      </c>
      <c r="CV30" s="4"/>
      <c r="CW30" s="32"/>
      <c r="CX30" s="38"/>
      <c r="CY30" s="33"/>
      <c r="CZ30" s="34"/>
      <c r="DA30" s="31"/>
      <c r="DB30" s="31"/>
      <c r="DC30" s="31"/>
      <c r="DD30" s="31"/>
      <c r="DE30" s="4">
        <v>0</v>
      </c>
      <c r="DF30" s="4"/>
      <c r="DG30" s="4"/>
      <c r="DH30" s="4"/>
      <c r="DI30" s="4"/>
      <c r="DJ30" s="4"/>
      <c r="DK30" s="4">
        <v>0</v>
      </c>
      <c r="DL30" s="4"/>
      <c r="DM30" s="4"/>
      <c r="DN30" s="4"/>
      <c r="DO30" s="4"/>
      <c r="DP30" s="4"/>
      <c r="DQ30" s="31">
        <v>0</v>
      </c>
      <c r="DR30" s="31"/>
      <c r="DS30" s="32"/>
      <c r="DT30" s="32"/>
      <c r="DU30" s="32"/>
      <c r="DV30" s="32"/>
      <c r="DW30" s="4">
        <v>1</v>
      </c>
      <c r="DX30" s="4" t="s">
        <v>709</v>
      </c>
      <c r="DY30" s="32">
        <v>45527</v>
      </c>
      <c r="DZ30" s="32">
        <f t="shared" ref="DZ30" si="18">DY30</f>
        <v>45527</v>
      </c>
      <c r="EA30" s="38">
        <v>46052</v>
      </c>
      <c r="EB30" s="38" t="s">
        <v>654</v>
      </c>
      <c r="EC30" s="4">
        <v>0</v>
      </c>
      <c r="ED30" s="4"/>
      <c r="EE30" s="4"/>
      <c r="EF30" s="4">
        <v>0</v>
      </c>
      <c r="EG30" s="4"/>
      <c r="EH30" s="4"/>
      <c r="EI30" s="4"/>
      <c r="EJ30" s="26"/>
      <c r="EK30" s="26"/>
      <c r="EL30" s="26"/>
    </row>
    <row r="31" spans="1:142" hidden="1">
      <c r="A31" s="11">
        <v>28</v>
      </c>
      <c r="B31" s="109">
        <v>11823</v>
      </c>
      <c r="C31" s="7" t="s">
        <v>200</v>
      </c>
      <c r="D31" s="3">
        <v>1313088242</v>
      </c>
      <c r="E31" s="5" t="s">
        <v>42</v>
      </c>
      <c r="F31" s="26" t="s">
        <v>171</v>
      </c>
      <c r="G31" s="5" t="s">
        <v>47</v>
      </c>
      <c r="H31" s="4">
        <v>1</v>
      </c>
      <c r="I31" s="4" t="s">
        <v>631</v>
      </c>
      <c r="J31" s="38">
        <f t="shared" si="10"/>
        <v>45498</v>
      </c>
      <c r="K31" s="38">
        <v>45498</v>
      </c>
      <c r="L31" s="32">
        <v>46200</v>
      </c>
      <c r="M31" s="38" t="s">
        <v>626</v>
      </c>
      <c r="N31" s="4">
        <v>1</v>
      </c>
      <c r="O31" s="4" t="s">
        <v>653</v>
      </c>
      <c r="P31" s="32">
        <f t="shared" si="1"/>
        <v>45927</v>
      </c>
      <c r="Q31" s="38">
        <v>45927</v>
      </c>
      <c r="R31" s="32">
        <v>46200</v>
      </c>
      <c r="S31" s="38" t="s">
        <v>404</v>
      </c>
      <c r="T31" s="4">
        <v>1</v>
      </c>
      <c r="U31" s="4" t="s">
        <v>669</v>
      </c>
      <c r="V31" s="38">
        <f t="shared" si="11"/>
        <v>45132</v>
      </c>
      <c r="W31" s="38">
        <v>45132</v>
      </c>
      <c r="X31" s="32">
        <v>46200</v>
      </c>
      <c r="Y31" s="38" t="s">
        <v>654</v>
      </c>
      <c r="Z31" s="4">
        <v>0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>
        <v>0</v>
      </c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>
        <v>0</v>
      </c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>
        <v>0</v>
      </c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>
        <v>0</v>
      </c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>
        <v>0</v>
      </c>
      <c r="CJ31" s="4"/>
      <c r="CK31" s="4"/>
      <c r="CL31" s="4"/>
      <c r="CM31" s="4"/>
      <c r="CN31" s="4"/>
      <c r="CO31" s="4">
        <v>1</v>
      </c>
      <c r="CP31" s="4" t="s">
        <v>692</v>
      </c>
      <c r="CQ31" s="39">
        <v>45557</v>
      </c>
      <c r="CR31" s="39">
        <f t="shared" si="13"/>
        <v>45557</v>
      </c>
      <c r="CS31" s="32">
        <v>46200</v>
      </c>
      <c r="CT31" s="39"/>
      <c r="CU31" s="4">
        <v>0</v>
      </c>
      <c r="CV31" s="4"/>
      <c r="CW31" s="32"/>
      <c r="CX31" s="38"/>
      <c r="CY31" s="33"/>
      <c r="CZ31" s="34"/>
      <c r="DA31" s="31"/>
      <c r="DB31" s="31"/>
      <c r="DC31" s="31"/>
      <c r="DD31" s="31"/>
      <c r="DE31" s="4">
        <v>0</v>
      </c>
      <c r="DF31" s="4"/>
      <c r="DG31" s="4"/>
      <c r="DH31" s="4"/>
      <c r="DI31" s="4"/>
      <c r="DJ31" s="4"/>
      <c r="DK31" s="4">
        <v>0</v>
      </c>
      <c r="DL31" s="4"/>
      <c r="DM31" s="4"/>
      <c r="DN31" s="4"/>
      <c r="DO31" s="4"/>
      <c r="DP31" s="4"/>
      <c r="DQ31" s="31">
        <v>1</v>
      </c>
      <c r="DR31" s="31" t="s">
        <v>705</v>
      </c>
      <c r="DS31" s="32">
        <v>45394</v>
      </c>
      <c r="DT31" s="32">
        <f t="shared" si="4"/>
        <v>45394</v>
      </c>
      <c r="DU31" s="38">
        <v>46052</v>
      </c>
      <c r="DV31" s="38" t="s">
        <v>654</v>
      </c>
      <c r="DW31" s="4">
        <v>0</v>
      </c>
      <c r="DX31" s="4"/>
      <c r="DY31" s="4"/>
      <c r="DZ31" s="4"/>
      <c r="EA31" s="4"/>
      <c r="EB31" s="4"/>
      <c r="EC31" s="4">
        <v>0</v>
      </c>
      <c r="ED31" s="4"/>
      <c r="EE31" s="4"/>
      <c r="EF31" s="4">
        <v>0</v>
      </c>
      <c r="EG31" s="4"/>
      <c r="EH31" s="4"/>
      <c r="EI31" s="4"/>
      <c r="EJ31" s="26"/>
      <c r="EK31" s="26"/>
      <c r="EL31" s="26"/>
    </row>
    <row r="32" spans="1:142" hidden="1">
      <c r="A32" s="11">
        <v>29</v>
      </c>
      <c r="B32" s="107">
        <v>6690</v>
      </c>
      <c r="C32" s="30" t="s">
        <v>57</v>
      </c>
      <c r="D32" s="3">
        <v>1313088182</v>
      </c>
      <c r="E32" s="3" t="s">
        <v>41</v>
      </c>
      <c r="F32" s="26" t="s">
        <v>171</v>
      </c>
      <c r="G32" s="5" t="s">
        <v>58</v>
      </c>
      <c r="H32" s="4">
        <v>1</v>
      </c>
      <c r="I32" s="4" t="s">
        <v>777</v>
      </c>
      <c r="J32" s="39">
        <f t="shared" si="10"/>
        <v>45545</v>
      </c>
      <c r="K32" s="39">
        <v>45545</v>
      </c>
      <c r="L32" s="32">
        <v>46200</v>
      </c>
      <c r="M32" s="39" t="s">
        <v>775</v>
      </c>
      <c r="N32" s="4">
        <v>1</v>
      </c>
      <c r="O32" s="4" t="s">
        <v>794</v>
      </c>
      <c r="P32" s="32">
        <f t="shared" si="1"/>
        <v>45954</v>
      </c>
      <c r="Q32" s="39">
        <v>45954</v>
      </c>
      <c r="R32" s="32">
        <v>46200</v>
      </c>
      <c r="S32" s="39" t="s">
        <v>775</v>
      </c>
      <c r="T32" s="4">
        <v>1</v>
      </c>
      <c r="U32" s="4" t="s">
        <v>814</v>
      </c>
      <c r="V32" s="39">
        <f t="shared" si="11"/>
        <v>45545</v>
      </c>
      <c r="W32" s="39">
        <v>45545</v>
      </c>
      <c r="X32" s="32">
        <v>46200</v>
      </c>
      <c r="Y32" s="39" t="s">
        <v>775</v>
      </c>
      <c r="Z32" s="4">
        <v>0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>
        <v>0</v>
      </c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>
        <v>0</v>
      </c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>
        <v>0</v>
      </c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>
        <v>0</v>
      </c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>
        <v>0</v>
      </c>
      <c r="CD32" s="4"/>
      <c r="CE32" s="4"/>
      <c r="CF32" s="4"/>
      <c r="CG32" s="4"/>
      <c r="CH32" s="4"/>
      <c r="CI32" s="4">
        <v>0</v>
      </c>
      <c r="CJ32" s="4"/>
      <c r="CK32" s="4"/>
      <c r="CL32" s="4"/>
      <c r="CM32" s="4"/>
      <c r="CN32" s="4"/>
      <c r="CO32" s="4">
        <v>0</v>
      </c>
      <c r="CP32" s="4"/>
      <c r="CQ32" s="39"/>
      <c r="CR32" s="39"/>
      <c r="CS32" s="39"/>
      <c r="CT32" s="39"/>
      <c r="CU32" s="4">
        <v>0</v>
      </c>
      <c r="CV32" s="4"/>
      <c r="CW32" s="39"/>
      <c r="CX32" s="39"/>
      <c r="CY32" s="33"/>
      <c r="CZ32" s="34"/>
      <c r="DA32" s="31"/>
      <c r="DB32" s="31" t="s">
        <v>167</v>
      </c>
      <c r="DC32" s="31"/>
      <c r="DD32" s="31"/>
      <c r="DE32" s="4">
        <v>0</v>
      </c>
      <c r="DF32" s="4"/>
      <c r="DG32" s="4"/>
      <c r="DH32" s="4"/>
      <c r="DI32" s="4"/>
      <c r="DJ32" s="4"/>
      <c r="DK32" s="4">
        <v>0</v>
      </c>
      <c r="DL32" s="4"/>
      <c r="DM32" s="4"/>
      <c r="DN32" s="4"/>
      <c r="DO32" s="4"/>
      <c r="DP32" s="4"/>
      <c r="DQ32" s="31">
        <v>0</v>
      </c>
      <c r="DR32" s="31"/>
      <c r="DS32" s="39"/>
      <c r="DT32" s="32"/>
      <c r="DU32" s="32"/>
      <c r="DV32" s="32"/>
      <c r="DW32" s="4">
        <v>0</v>
      </c>
      <c r="DX32" s="4"/>
      <c r="DY32" s="4"/>
      <c r="DZ32" s="4"/>
      <c r="EA32" s="4"/>
      <c r="EB32" s="4"/>
      <c r="EC32" s="4">
        <v>0</v>
      </c>
      <c r="ED32" s="4"/>
      <c r="EE32" s="4"/>
      <c r="EF32" s="4">
        <v>0</v>
      </c>
      <c r="EG32" s="4"/>
      <c r="EH32" s="4"/>
      <c r="EI32" s="4"/>
      <c r="EJ32" s="26"/>
      <c r="EK32" s="26"/>
      <c r="EL32" s="26"/>
    </row>
    <row r="33" spans="1:142" hidden="1">
      <c r="A33" s="11">
        <v>30</v>
      </c>
      <c r="B33" s="107">
        <v>6712</v>
      </c>
      <c r="C33" s="30" t="s">
        <v>59</v>
      </c>
      <c r="D33" s="3">
        <v>1313088475</v>
      </c>
      <c r="E33" s="4" t="s">
        <v>26</v>
      </c>
      <c r="F33" s="26" t="s">
        <v>171</v>
      </c>
      <c r="G33" s="5" t="s">
        <v>58</v>
      </c>
      <c r="H33" s="4">
        <v>1</v>
      </c>
      <c r="I33" s="4" t="s">
        <v>778</v>
      </c>
      <c r="J33" s="39">
        <f t="shared" si="10"/>
        <v>45545</v>
      </c>
      <c r="K33" s="39">
        <v>45545</v>
      </c>
      <c r="L33" s="32">
        <v>46200</v>
      </c>
      <c r="M33" s="39" t="s">
        <v>775</v>
      </c>
      <c r="N33" s="4">
        <v>1</v>
      </c>
      <c r="O33" s="4" t="s">
        <v>795</v>
      </c>
      <c r="P33" s="32">
        <f t="shared" si="1"/>
        <v>45954</v>
      </c>
      <c r="Q33" s="39">
        <v>45954</v>
      </c>
      <c r="R33" s="32">
        <v>46200</v>
      </c>
      <c r="S33" s="39" t="s">
        <v>775</v>
      </c>
      <c r="T33" s="4">
        <v>1</v>
      </c>
      <c r="U33" s="4" t="s">
        <v>815</v>
      </c>
      <c r="V33" s="39">
        <f t="shared" si="11"/>
        <v>45545</v>
      </c>
      <c r="W33" s="39">
        <v>45545</v>
      </c>
      <c r="X33" s="32">
        <v>46200</v>
      </c>
      <c r="Y33" s="39" t="s">
        <v>775</v>
      </c>
      <c r="Z33" s="4">
        <v>0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>
        <v>0</v>
      </c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>
        <v>0</v>
      </c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>
        <v>0</v>
      </c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>
        <v>0</v>
      </c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>
        <v>0</v>
      </c>
      <c r="CD33" s="4"/>
      <c r="CE33" s="4"/>
      <c r="CF33" s="4"/>
      <c r="CG33" s="4"/>
      <c r="CH33" s="4"/>
      <c r="CI33" s="4">
        <v>0</v>
      </c>
      <c r="CJ33" s="4"/>
      <c r="CK33" s="4"/>
      <c r="CL33" s="4"/>
      <c r="CM33" s="4"/>
      <c r="CN33" s="4"/>
      <c r="CO33" s="4">
        <v>1</v>
      </c>
      <c r="CP33" s="4" t="s">
        <v>861</v>
      </c>
      <c r="CQ33" s="39">
        <f>CR33</f>
        <v>45732</v>
      </c>
      <c r="CR33" s="39">
        <v>45732</v>
      </c>
      <c r="CS33" s="32">
        <v>46200</v>
      </c>
      <c r="CT33" s="39" t="s">
        <v>775</v>
      </c>
      <c r="CU33" s="4">
        <v>1</v>
      </c>
      <c r="CV33" s="4" t="s">
        <v>863</v>
      </c>
      <c r="CW33" s="39">
        <f>CX33</f>
        <v>45732</v>
      </c>
      <c r="CX33" s="39">
        <v>45732</v>
      </c>
      <c r="CY33" s="33">
        <v>45658</v>
      </c>
      <c r="CZ33" s="34">
        <v>46388</v>
      </c>
      <c r="DA33" s="31" t="s">
        <v>166</v>
      </c>
      <c r="DB33" s="31" t="s">
        <v>167</v>
      </c>
      <c r="DC33" s="32">
        <v>46200</v>
      </c>
      <c r="DD33" s="39" t="s">
        <v>775</v>
      </c>
      <c r="DE33" s="4">
        <v>0</v>
      </c>
      <c r="DF33" s="4"/>
      <c r="DG33" s="4"/>
      <c r="DH33" s="4"/>
      <c r="DI33" s="4"/>
      <c r="DJ33" s="4"/>
      <c r="DK33" s="4">
        <v>0</v>
      </c>
      <c r="DL33" s="4"/>
      <c r="DM33" s="4"/>
      <c r="DN33" s="4"/>
      <c r="DO33" s="4"/>
      <c r="DP33" s="4"/>
      <c r="DQ33" s="31">
        <v>1</v>
      </c>
      <c r="DR33" s="31" t="s">
        <v>873</v>
      </c>
      <c r="DS33" s="39">
        <v>45812</v>
      </c>
      <c r="DT33" s="32">
        <f>DS33</f>
        <v>45812</v>
      </c>
      <c r="DU33" s="39">
        <v>46051</v>
      </c>
      <c r="DV33" s="39" t="s">
        <v>775</v>
      </c>
      <c r="DW33" s="4">
        <v>0</v>
      </c>
      <c r="DX33" s="4"/>
      <c r="DY33" s="4"/>
      <c r="DZ33" s="4"/>
      <c r="EA33" s="4"/>
      <c r="EB33" s="4"/>
      <c r="EC33" s="4">
        <v>0</v>
      </c>
      <c r="ED33" s="4"/>
      <c r="EE33" s="4"/>
      <c r="EF33" s="4">
        <v>0</v>
      </c>
      <c r="EG33" s="4"/>
      <c r="EH33" s="4"/>
      <c r="EI33" s="4"/>
      <c r="EJ33" s="26"/>
      <c r="EK33" s="26"/>
      <c r="EL33" s="26"/>
    </row>
    <row r="34" spans="1:142" hidden="1">
      <c r="A34" s="11">
        <v>31</v>
      </c>
      <c r="B34" s="107">
        <v>7113</v>
      </c>
      <c r="C34" s="30" t="s">
        <v>60</v>
      </c>
      <c r="D34" s="2">
        <v>1313088477</v>
      </c>
      <c r="E34" s="4" t="s">
        <v>26</v>
      </c>
      <c r="F34" s="26" t="s">
        <v>171</v>
      </c>
      <c r="G34" s="5" t="s">
        <v>58</v>
      </c>
      <c r="H34" s="4">
        <v>1</v>
      </c>
      <c r="I34" s="4" t="s">
        <v>779</v>
      </c>
      <c r="J34" s="39">
        <f t="shared" si="10"/>
        <v>45545</v>
      </c>
      <c r="K34" s="39">
        <v>45545</v>
      </c>
      <c r="L34" s="32">
        <v>46200</v>
      </c>
      <c r="M34" s="39" t="s">
        <v>775</v>
      </c>
      <c r="N34" s="4">
        <v>1</v>
      </c>
      <c r="O34" s="4" t="s">
        <v>796</v>
      </c>
      <c r="P34" s="32">
        <f t="shared" si="1"/>
        <v>45954</v>
      </c>
      <c r="Q34" s="39">
        <v>45954</v>
      </c>
      <c r="R34" s="32">
        <v>46200</v>
      </c>
      <c r="S34" s="39" t="s">
        <v>775</v>
      </c>
      <c r="T34" s="4">
        <v>1</v>
      </c>
      <c r="U34" s="4" t="s">
        <v>816</v>
      </c>
      <c r="V34" s="39">
        <f t="shared" si="11"/>
        <v>45545</v>
      </c>
      <c r="W34" s="39">
        <v>45545</v>
      </c>
      <c r="X34" s="32">
        <v>46200</v>
      </c>
      <c r="Y34" s="39" t="s">
        <v>775</v>
      </c>
      <c r="Z34" s="4">
        <v>0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>
        <v>0</v>
      </c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>
        <v>0</v>
      </c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>
        <v>0</v>
      </c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>
        <v>0</v>
      </c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>
        <v>0</v>
      </c>
      <c r="CD34" s="4"/>
      <c r="CE34" s="4"/>
      <c r="CF34" s="4"/>
      <c r="CG34" s="4"/>
      <c r="CH34" s="4"/>
      <c r="CI34" s="4">
        <v>0</v>
      </c>
      <c r="CJ34" s="4"/>
      <c r="CK34" s="4"/>
      <c r="CL34" s="4"/>
      <c r="CM34" s="4"/>
      <c r="CN34" s="4"/>
      <c r="CO34" s="4">
        <v>1</v>
      </c>
      <c r="CP34" s="4" t="s">
        <v>862</v>
      </c>
      <c r="CQ34" s="39">
        <f>CR34</f>
        <v>45732</v>
      </c>
      <c r="CR34" s="39">
        <v>45732</v>
      </c>
      <c r="CS34" s="32">
        <v>46200</v>
      </c>
      <c r="CT34" s="32" t="s">
        <v>405</v>
      </c>
      <c r="CU34" s="4">
        <v>1</v>
      </c>
      <c r="CV34" s="4" t="s">
        <v>864</v>
      </c>
      <c r="CW34" s="39">
        <f>CX34</f>
        <v>45732</v>
      </c>
      <c r="CX34" s="39">
        <v>45732</v>
      </c>
      <c r="CY34" s="33">
        <v>45658</v>
      </c>
      <c r="CZ34" s="34">
        <v>46388</v>
      </c>
      <c r="DA34" s="31" t="s">
        <v>166</v>
      </c>
      <c r="DB34" s="31" t="s">
        <v>167</v>
      </c>
      <c r="DC34" s="32">
        <v>46200</v>
      </c>
      <c r="DD34" s="39" t="s">
        <v>775</v>
      </c>
      <c r="DE34" s="4">
        <v>0</v>
      </c>
      <c r="DF34" s="4"/>
      <c r="DG34" s="4"/>
      <c r="DH34" s="4"/>
      <c r="DI34" s="4"/>
      <c r="DJ34" s="4"/>
      <c r="DK34" s="4">
        <v>1</v>
      </c>
      <c r="DL34" s="4" t="s">
        <v>871</v>
      </c>
      <c r="DM34" s="39">
        <f>DN34</f>
        <v>45910</v>
      </c>
      <c r="DN34" s="39">
        <v>45910</v>
      </c>
      <c r="DO34" s="39">
        <v>46200</v>
      </c>
      <c r="DP34" s="39" t="s">
        <v>775</v>
      </c>
      <c r="DQ34" s="31">
        <v>1</v>
      </c>
      <c r="DR34" s="31" t="s">
        <v>874</v>
      </c>
      <c r="DS34" s="39">
        <v>45812</v>
      </c>
      <c r="DT34" s="32">
        <f>DS34</f>
        <v>45812</v>
      </c>
      <c r="DU34" s="39">
        <v>46050</v>
      </c>
      <c r="DV34" s="39" t="s">
        <v>776</v>
      </c>
      <c r="DW34" s="4">
        <v>0</v>
      </c>
      <c r="DX34" s="4"/>
      <c r="DY34" s="39"/>
      <c r="DZ34" s="32"/>
      <c r="EA34" s="32"/>
      <c r="EB34" s="32"/>
      <c r="EC34" s="4">
        <v>0</v>
      </c>
      <c r="ED34" s="4"/>
      <c r="EE34" s="4"/>
      <c r="EF34" s="4">
        <v>0</v>
      </c>
      <c r="EG34" s="4"/>
      <c r="EH34" s="4"/>
      <c r="EI34" s="4"/>
      <c r="EJ34" s="26"/>
      <c r="EK34" s="26"/>
      <c r="EL34" s="26"/>
    </row>
    <row r="35" spans="1:142" hidden="1">
      <c r="A35" s="11">
        <v>32</v>
      </c>
      <c r="B35" s="107">
        <v>7226</v>
      </c>
      <c r="C35" s="30" t="s">
        <v>61</v>
      </c>
      <c r="D35" s="3">
        <v>1313088547</v>
      </c>
      <c r="E35" s="3" t="s">
        <v>33</v>
      </c>
      <c r="F35" s="26" t="s">
        <v>171</v>
      </c>
      <c r="G35" s="5" t="s">
        <v>58</v>
      </c>
      <c r="H35" s="4">
        <v>1</v>
      </c>
      <c r="I35" s="4" t="s">
        <v>780</v>
      </c>
      <c r="J35" s="39">
        <f t="shared" si="10"/>
        <v>45545</v>
      </c>
      <c r="K35" s="39">
        <v>45545</v>
      </c>
      <c r="L35" s="32">
        <v>46200</v>
      </c>
      <c r="M35" s="39" t="s">
        <v>775</v>
      </c>
      <c r="N35" s="4">
        <v>1</v>
      </c>
      <c r="O35" s="4" t="s">
        <v>797</v>
      </c>
      <c r="P35" s="32">
        <f t="shared" si="1"/>
        <v>45954</v>
      </c>
      <c r="Q35" s="39">
        <v>45954</v>
      </c>
      <c r="R35" s="32">
        <v>46200</v>
      </c>
      <c r="S35" s="39" t="s">
        <v>775</v>
      </c>
      <c r="T35" s="4">
        <v>1</v>
      </c>
      <c r="U35" s="4" t="s">
        <v>817</v>
      </c>
      <c r="V35" s="39">
        <f t="shared" si="11"/>
        <v>45545</v>
      </c>
      <c r="W35" s="39">
        <v>45545</v>
      </c>
      <c r="X35" s="32">
        <v>46200</v>
      </c>
      <c r="Y35" s="39" t="s">
        <v>775</v>
      </c>
      <c r="Z35" s="4">
        <v>0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>
        <v>0</v>
      </c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>
        <v>0</v>
      </c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>
        <v>0</v>
      </c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>
        <v>0</v>
      </c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>
        <v>0</v>
      </c>
      <c r="CD35" s="4"/>
      <c r="CE35" s="4"/>
      <c r="CF35" s="4"/>
      <c r="CG35" s="4"/>
      <c r="CH35" s="4"/>
      <c r="CI35" s="4">
        <v>0</v>
      </c>
      <c r="CJ35" s="4"/>
      <c r="CK35" s="4"/>
      <c r="CL35" s="4"/>
      <c r="CM35" s="4"/>
      <c r="CN35" s="4"/>
      <c r="CO35" s="4">
        <v>1</v>
      </c>
      <c r="CP35" s="4" t="s">
        <v>852</v>
      </c>
      <c r="CQ35" s="39">
        <f>CR35</f>
        <v>45732</v>
      </c>
      <c r="CR35" s="39">
        <v>45732</v>
      </c>
      <c r="CS35" s="32">
        <v>46200</v>
      </c>
      <c r="CT35" s="32" t="s">
        <v>405</v>
      </c>
      <c r="CU35" s="4">
        <v>0</v>
      </c>
      <c r="CV35" s="4"/>
      <c r="CW35" s="39"/>
      <c r="CX35" s="39"/>
      <c r="CY35" s="33"/>
      <c r="CZ35" s="34"/>
      <c r="DA35" s="31"/>
      <c r="DB35" s="31"/>
      <c r="DC35" s="31"/>
      <c r="DD35" s="31"/>
      <c r="DE35" s="4">
        <v>0</v>
      </c>
      <c r="DF35" s="4"/>
      <c r="DG35" s="4"/>
      <c r="DH35" s="4"/>
      <c r="DI35" s="4"/>
      <c r="DJ35" s="4"/>
      <c r="DK35" s="4">
        <v>0</v>
      </c>
      <c r="DL35" s="4"/>
      <c r="DM35" s="4"/>
      <c r="DN35" s="4"/>
      <c r="DO35" s="4"/>
      <c r="DP35" s="4"/>
      <c r="DQ35" s="31">
        <v>1</v>
      </c>
      <c r="DR35" s="31" t="s">
        <v>875</v>
      </c>
      <c r="DS35" s="39">
        <v>45812</v>
      </c>
      <c r="DT35" s="32">
        <f>DS35</f>
        <v>45812</v>
      </c>
      <c r="DU35" s="32">
        <v>46051</v>
      </c>
      <c r="DV35" s="32" t="s">
        <v>775</v>
      </c>
      <c r="DW35" s="4">
        <v>1</v>
      </c>
      <c r="DX35" s="4" t="s">
        <v>883</v>
      </c>
      <c r="DY35" s="39">
        <v>45910</v>
      </c>
      <c r="DZ35" s="32">
        <f>DY35</f>
        <v>45910</v>
      </c>
      <c r="EA35" s="32">
        <v>46051</v>
      </c>
      <c r="EB35" s="32" t="s">
        <v>775</v>
      </c>
      <c r="EC35" s="4">
        <v>0</v>
      </c>
      <c r="ED35" s="4"/>
      <c r="EE35" s="4"/>
      <c r="EF35" s="4">
        <v>0</v>
      </c>
      <c r="EG35" s="4"/>
      <c r="EH35" s="43"/>
      <c r="EI35" s="43"/>
      <c r="EJ35" s="26"/>
      <c r="EK35" s="26"/>
      <c r="EL35" s="26"/>
    </row>
    <row r="36" spans="1:142" ht="25.5" hidden="1">
      <c r="A36" s="11">
        <v>33</v>
      </c>
      <c r="B36" s="108">
        <v>7502</v>
      </c>
      <c r="C36" s="30" t="s">
        <v>62</v>
      </c>
      <c r="D36" s="3">
        <v>1313438680</v>
      </c>
      <c r="E36" s="3" t="s">
        <v>63</v>
      </c>
      <c r="F36" s="11" t="s">
        <v>171</v>
      </c>
      <c r="G36" s="5" t="s">
        <v>58</v>
      </c>
      <c r="H36" s="4">
        <v>1</v>
      </c>
      <c r="I36" s="4" t="s">
        <v>781</v>
      </c>
      <c r="J36" s="39">
        <f t="shared" si="10"/>
        <v>45545</v>
      </c>
      <c r="K36" s="39">
        <v>45545</v>
      </c>
      <c r="L36" s="32">
        <v>46200</v>
      </c>
      <c r="M36" s="39" t="s">
        <v>775</v>
      </c>
      <c r="N36" s="4">
        <v>1</v>
      </c>
      <c r="O36" s="4" t="s">
        <v>798</v>
      </c>
      <c r="P36" s="32">
        <f t="shared" si="1"/>
        <v>45954</v>
      </c>
      <c r="Q36" s="39">
        <v>45954</v>
      </c>
      <c r="R36" s="32">
        <v>46200</v>
      </c>
      <c r="S36" s="39" t="s">
        <v>775</v>
      </c>
      <c r="T36" s="4">
        <v>1</v>
      </c>
      <c r="U36" s="4" t="s">
        <v>818</v>
      </c>
      <c r="V36" s="39">
        <f t="shared" si="11"/>
        <v>45802</v>
      </c>
      <c r="W36" s="39">
        <v>45802</v>
      </c>
      <c r="X36" s="32">
        <v>46200</v>
      </c>
      <c r="Y36" s="39" t="s">
        <v>775</v>
      </c>
      <c r="Z36" s="4">
        <v>0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>
        <v>0</v>
      </c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>
        <v>0</v>
      </c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>
        <v>0</v>
      </c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>
        <v>0</v>
      </c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>
        <v>0</v>
      </c>
      <c r="CD36" s="4"/>
      <c r="CE36" s="4"/>
      <c r="CF36" s="4"/>
      <c r="CG36" s="4"/>
      <c r="CH36" s="4"/>
      <c r="CI36" s="4">
        <v>0</v>
      </c>
      <c r="CJ36" s="4"/>
      <c r="CK36" s="4"/>
      <c r="CL36" s="4"/>
      <c r="CM36" s="4"/>
      <c r="CN36" s="4"/>
      <c r="CO36" s="4">
        <v>0</v>
      </c>
      <c r="CP36" s="4"/>
      <c r="CQ36" s="39"/>
      <c r="CR36" s="39"/>
      <c r="CS36" s="39"/>
      <c r="CT36" s="39"/>
      <c r="CU36" s="4">
        <v>0</v>
      </c>
      <c r="CV36" s="4"/>
      <c r="CW36" s="39"/>
      <c r="CX36" s="39"/>
      <c r="CY36" s="33"/>
      <c r="CZ36" s="34"/>
      <c r="DA36" s="31"/>
      <c r="DB36" s="31"/>
      <c r="DC36" s="31"/>
      <c r="DD36" s="31"/>
      <c r="DE36" s="4">
        <v>1</v>
      </c>
      <c r="DF36" s="4" t="s">
        <v>869</v>
      </c>
      <c r="DG36" s="60">
        <v>45545</v>
      </c>
      <c r="DH36" s="32">
        <f>DG36</f>
        <v>45545</v>
      </c>
      <c r="DI36" s="32">
        <v>46052</v>
      </c>
      <c r="DJ36" s="32" t="s">
        <v>775</v>
      </c>
      <c r="DK36" s="4">
        <v>0</v>
      </c>
      <c r="DL36" s="4"/>
      <c r="DM36" s="4"/>
      <c r="DN36" s="4"/>
      <c r="DO36" s="4"/>
      <c r="DP36" s="4"/>
      <c r="DQ36" s="31">
        <v>0</v>
      </c>
      <c r="DR36" s="31"/>
      <c r="DS36" s="39"/>
      <c r="DT36" s="32"/>
      <c r="DU36" s="32"/>
      <c r="DV36" s="32"/>
      <c r="DW36" s="4">
        <v>0</v>
      </c>
      <c r="DX36" s="4"/>
      <c r="DY36" s="4"/>
      <c r="DZ36" s="4"/>
      <c r="EA36" s="4"/>
      <c r="EB36" s="4"/>
      <c r="EC36" s="4">
        <v>0</v>
      </c>
      <c r="ED36" s="4"/>
      <c r="EE36" s="4"/>
      <c r="EF36" s="4">
        <v>0</v>
      </c>
      <c r="EG36" s="4"/>
      <c r="EH36" s="4"/>
      <c r="EI36" s="4"/>
      <c r="EJ36" s="26"/>
      <c r="EK36" s="26"/>
      <c r="EL36" s="26"/>
    </row>
    <row r="37" spans="1:142" hidden="1">
      <c r="A37" s="11">
        <v>34</v>
      </c>
      <c r="B37" s="104">
        <v>9232</v>
      </c>
      <c r="C37" s="31" t="s">
        <v>64</v>
      </c>
      <c r="D37" s="4">
        <v>1313088569</v>
      </c>
      <c r="E37" s="3" t="s">
        <v>35</v>
      </c>
      <c r="F37" s="26" t="s">
        <v>171</v>
      </c>
      <c r="G37" s="5" t="s">
        <v>58</v>
      </c>
      <c r="H37" s="4">
        <v>1</v>
      </c>
      <c r="I37" s="4" t="s">
        <v>782</v>
      </c>
      <c r="J37" s="39">
        <f t="shared" si="10"/>
        <v>45545</v>
      </c>
      <c r="K37" s="39">
        <v>45545</v>
      </c>
      <c r="L37" s="32">
        <v>46200</v>
      </c>
      <c r="M37" s="39" t="s">
        <v>775</v>
      </c>
      <c r="N37" s="4">
        <v>1</v>
      </c>
      <c r="O37" s="4" t="s">
        <v>799</v>
      </c>
      <c r="P37" s="32">
        <f t="shared" si="1"/>
        <v>45954</v>
      </c>
      <c r="Q37" s="39">
        <v>45954</v>
      </c>
      <c r="R37" s="32">
        <v>46200</v>
      </c>
      <c r="S37" s="39" t="s">
        <v>775</v>
      </c>
      <c r="T37" s="4">
        <v>1</v>
      </c>
      <c r="U37" s="4" t="s">
        <v>819</v>
      </c>
      <c r="V37" s="39">
        <f t="shared" si="11"/>
        <v>45545</v>
      </c>
      <c r="W37" s="39">
        <v>45545</v>
      </c>
      <c r="X37" s="32">
        <v>46200</v>
      </c>
      <c r="Y37" s="39" t="s">
        <v>775</v>
      </c>
      <c r="Z37" s="4">
        <v>0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>
        <v>0</v>
      </c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>
        <v>0</v>
      </c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>
        <v>0</v>
      </c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>
        <v>0</v>
      </c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>
        <v>0</v>
      </c>
      <c r="CD37" s="4"/>
      <c r="CE37" s="4"/>
      <c r="CF37" s="4"/>
      <c r="CG37" s="4"/>
      <c r="CH37" s="4"/>
      <c r="CI37" s="4">
        <v>0</v>
      </c>
      <c r="CJ37" s="4"/>
      <c r="CK37" s="4"/>
      <c r="CL37" s="4"/>
      <c r="CM37" s="4"/>
      <c r="CN37" s="4"/>
      <c r="CO37" s="4">
        <v>1</v>
      </c>
      <c r="CP37" s="4" t="s">
        <v>853</v>
      </c>
      <c r="CQ37" s="39">
        <f t="shared" ref="CQ37:CQ42" si="19">CR37</f>
        <v>45732</v>
      </c>
      <c r="CR37" s="39">
        <v>45732</v>
      </c>
      <c r="CS37" s="32">
        <v>46200</v>
      </c>
      <c r="CT37" s="32" t="s">
        <v>405</v>
      </c>
      <c r="CU37" s="4">
        <v>0</v>
      </c>
      <c r="CV37" s="4"/>
      <c r="CW37" s="39"/>
      <c r="CX37" s="39"/>
      <c r="CY37" s="33"/>
      <c r="CZ37" s="34"/>
      <c r="DA37" s="31"/>
      <c r="DB37" s="31"/>
      <c r="DC37" s="31"/>
      <c r="DD37" s="31"/>
      <c r="DE37" s="4">
        <v>0</v>
      </c>
      <c r="DF37" s="4"/>
      <c r="DG37" s="4"/>
      <c r="DH37" s="4"/>
      <c r="DI37" s="4"/>
      <c r="DJ37" s="4"/>
      <c r="DK37" s="4">
        <v>0</v>
      </c>
      <c r="DL37" s="4"/>
      <c r="DM37" s="4"/>
      <c r="DN37" s="4"/>
      <c r="DO37" s="4"/>
      <c r="DP37" s="4"/>
      <c r="DQ37" s="31">
        <v>0</v>
      </c>
      <c r="DR37" s="31"/>
      <c r="DS37" s="39"/>
      <c r="DT37" s="32"/>
      <c r="DU37" s="32"/>
      <c r="DV37" s="32"/>
      <c r="DW37" s="4">
        <v>0</v>
      </c>
      <c r="DX37" s="4"/>
      <c r="DY37" s="4"/>
      <c r="DZ37" s="4"/>
      <c r="EA37" s="4"/>
      <c r="EB37" s="4"/>
      <c r="EC37" s="4">
        <v>0</v>
      </c>
      <c r="ED37" s="4"/>
      <c r="EE37" s="4"/>
      <c r="EF37" s="4">
        <v>0</v>
      </c>
      <c r="EG37" s="4"/>
      <c r="EH37" s="4"/>
      <c r="EI37" s="4"/>
      <c r="EJ37" s="26"/>
      <c r="EK37" s="26"/>
      <c r="EL37" s="26"/>
    </row>
    <row r="38" spans="1:142" hidden="1">
      <c r="A38" s="11">
        <v>35</v>
      </c>
      <c r="B38" s="108">
        <v>10055</v>
      </c>
      <c r="C38" s="30" t="s">
        <v>65</v>
      </c>
      <c r="D38" s="4">
        <v>1313088247</v>
      </c>
      <c r="E38" s="4" t="s">
        <v>33</v>
      </c>
      <c r="F38" s="26" t="s">
        <v>171</v>
      </c>
      <c r="G38" s="5" t="s">
        <v>58</v>
      </c>
      <c r="H38" s="4">
        <v>1</v>
      </c>
      <c r="I38" s="4" t="s">
        <v>783</v>
      </c>
      <c r="J38" s="39">
        <f t="shared" si="10"/>
        <v>45545</v>
      </c>
      <c r="K38" s="39">
        <v>45545</v>
      </c>
      <c r="L38" s="32">
        <v>46200</v>
      </c>
      <c r="M38" s="39" t="s">
        <v>775</v>
      </c>
      <c r="N38" s="4">
        <v>1</v>
      </c>
      <c r="O38" s="4" t="s">
        <v>800</v>
      </c>
      <c r="P38" s="32">
        <f t="shared" si="1"/>
        <v>45954</v>
      </c>
      <c r="Q38" s="39">
        <v>45954</v>
      </c>
      <c r="R38" s="32">
        <v>46200</v>
      </c>
      <c r="S38" s="39" t="s">
        <v>775</v>
      </c>
      <c r="T38" s="4">
        <v>1</v>
      </c>
      <c r="U38" s="4" t="s">
        <v>820</v>
      </c>
      <c r="V38" s="39">
        <f t="shared" si="11"/>
        <v>45545</v>
      </c>
      <c r="W38" s="39">
        <v>45545</v>
      </c>
      <c r="X38" s="32">
        <v>46200</v>
      </c>
      <c r="Y38" s="39" t="s">
        <v>775</v>
      </c>
      <c r="Z38" s="4">
        <v>0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>
        <v>0</v>
      </c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>
        <v>0</v>
      </c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>
        <v>0</v>
      </c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>
        <v>0</v>
      </c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>
        <v>0</v>
      </c>
      <c r="CD38" s="4"/>
      <c r="CE38" s="4"/>
      <c r="CF38" s="4"/>
      <c r="CG38" s="4"/>
      <c r="CH38" s="4"/>
      <c r="CI38" s="4">
        <v>0</v>
      </c>
      <c r="CJ38" s="4"/>
      <c r="CK38" s="4"/>
      <c r="CL38" s="4"/>
      <c r="CM38" s="4"/>
      <c r="CN38" s="4"/>
      <c r="CO38" s="4">
        <v>1</v>
      </c>
      <c r="CP38" s="4" t="s">
        <v>854</v>
      </c>
      <c r="CQ38" s="39">
        <f t="shared" si="19"/>
        <v>45732</v>
      </c>
      <c r="CR38" s="39">
        <v>45732</v>
      </c>
      <c r="CS38" s="32">
        <v>46200</v>
      </c>
      <c r="CT38" s="39" t="s">
        <v>775</v>
      </c>
      <c r="CU38" s="4">
        <v>1</v>
      </c>
      <c r="CV38" s="4" t="s">
        <v>865</v>
      </c>
      <c r="CW38" s="39">
        <f>CX38</f>
        <v>45732</v>
      </c>
      <c r="CX38" s="39">
        <v>45732</v>
      </c>
      <c r="CY38" s="33">
        <v>45658</v>
      </c>
      <c r="CZ38" s="34">
        <v>46388</v>
      </c>
      <c r="DA38" s="31" t="s">
        <v>166</v>
      </c>
      <c r="DB38" s="31" t="s">
        <v>167</v>
      </c>
      <c r="DC38" s="32">
        <v>46200</v>
      </c>
      <c r="DD38" s="39" t="s">
        <v>775</v>
      </c>
      <c r="DE38" s="4">
        <v>0</v>
      </c>
      <c r="DF38" s="4"/>
      <c r="DG38" s="4"/>
      <c r="DH38" s="4"/>
      <c r="DI38" s="4"/>
      <c r="DJ38" s="4"/>
      <c r="DK38" s="4">
        <v>0</v>
      </c>
      <c r="DL38" s="4"/>
      <c r="DM38" s="4"/>
      <c r="DN38" s="4"/>
      <c r="DO38" s="4"/>
      <c r="DP38" s="4"/>
      <c r="DQ38" s="31">
        <v>1</v>
      </c>
      <c r="DR38" s="31" t="s">
        <v>876</v>
      </c>
      <c r="DS38" s="39">
        <v>45812</v>
      </c>
      <c r="DT38" s="32">
        <f>DS38</f>
        <v>45812</v>
      </c>
      <c r="DU38" s="39">
        <v>46050</v>
      </c>
      <c r="DV38" s="39" t="s">
        <v>775</v>
      </c>
      <c r="DW38" s="4">
        <v>1</v>
      </c>
      <c r="DX38" s="4" t="s">
        <v>884</v>
      </c>
      <c r="DY38" s="39">
        <v>45910</v>
      </c>
      <c r="DZ38" s="32">
        <f>DY38</f>
        <v>45910</v>
      </c>
      <c r="EA38" s="39">
        <v>46050</v>
      </c>
      <c r="EB38" s="39" t="s">
        <v>775</v>
      </c>
      <c r="EC38" s="4">
        <v>0</v>
      </c>
      <c r="ED38" s="4"/>
      <c r="EE38" s="4"/>
      <c r="EF38" s="4">
        <v>0</v>
      </c>
      <c r="EG38" s="4"/>
      <c r="EH38" s="43"/>
      <c r="EI38" s="43"/>
      <c r="EJ38" s="26"/>
      <c r="EK38" s="26"/>
      <c r="EL38" s="26"/>
    </row>
    <row r="39" spans="1:142" ht="25.5" hidden="1">
      <c r="A39" s="11">
        <v>36</v>
      </c>
      <c r="B39" s="111">
        <v>10370</v>
      </c>
      <c r="C39" s="37" t="s">
        <v>66</v>
      </c>
      <c r="D39" s="4">
        <v>1313088483</v>
      </c>
      <c r="E39" s="7" t="s">
        <v>67</v>
      </c>
      <c r="F39" s="26" t="s">
        <v>171</v>
      </c>
      <c r="G39" s="5" t="s">
        <v>58</v>
      </c>
      <c r="H39" s="4">
        <v>1</v>
      </c>
      <c r="I39" s="4" t="s">
        <v>784</v>
      </c>
      <c r="J39" s="39">
        <f t="shared" si="10"/>
        <v>45545</v>
      </c>
      <c r="K39" s="39">
        <v>45545</v>
      </c>
      <c r="L39" s="32">
        <v>46200</v>
      </c>
      <c r="M39" s="39" t="s">
        <v>775</v>
      </c>
      <c r="N39" s="4">
        <v>1</v>
      </c>
      <c r="O39" s="4" t="s">
        <v>801</v>
      </c>
      <c r="P39" s="32">
        <f t="shared" si="1"/>
        <v>45954</v>
      </c>
      <c r="Q39" s="39">
        <v>45954</v>
      </c>
      <c r="R39" s="32">
        <v>46200</v>
      </c>
      <c r="S39" s="39" t="s">
        <v>775</v>
      </c>
      <c r="T39" s="4">
        <v>1</v>
      </c>
      <c r="U39" s="4" t="s">
        <v>821</v>
      </c>
      <c r="V39" s="39">
        <f t="shared" si="11"/>
        <v>45545</v>
      </c>
      <c r="W39" s="39">
        <v>45545</v>
      </c>
      <c r="X39" s="32">
        <v>46200</v>
      </c>
      <c r="Y39" s="39" t="s">
        <v>775</v>
      </c>
      <c r="Z39" s="4">
        <v>0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>
        <v>0</v>
      </c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>
        <v>0</v>
      </c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>
        <v>0</v>
      </c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>
        <v>0</v>
      </c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>
        <v>0</v>
      </c>
      <c r="CD39" s="4"/>
      <c r="CE39" s="4"/>
      <c r="CF39" s="4"/>
      <c r="CG39" s="4"/>
      <c r="CH39" s="4"/>
      <c r="CI39" s="4">
        <v>0</v>
      </c>
      <c r="CJ39" s="4"/>
      <c r="CK39" s="4"/>
      <c r="CL39" s="4"/>
      <c r="CM39" s="4"/>
      <c r="CN39" s="4"/>
      <c r="CO39" s="4">
        <v>1</v>
      </c>
      <c r="CP39" s="4" t="s">
        <v>855</v>
      </c>
      <c r="CQ39" s="39">
        <f t="shared" si="19"/>
        <v>45732</v>
      </c>
      <c r="CR39" s="39">
        <v>45732</v>
      </c>
      <c r="CS39" s="32">
        <v>46200</v>
      </c>
      <c r="CT39" s="32" t="s">
        <v>405</v>
      </c>
      <c r="CU39" s="4">
        <v>0</v>
      </c>
      <c r="CV39" s="4"/>
      <c r="CW39" s="39"/>
      <c r="CX39" s="39"/>
      <c r="CY39" s="33"/>
      <c r="CZ39" s="34"/>
      <c r="DA39" s="31"/>
      <c r="DB39" s="31"/>
      <c r="DC39" s="31"/>
      <c r="DD39" s="31"/>
      <c r="DE39" s="4">
        <v>0</v>
      </c>
      <c r="DF39" s="4"/>
      <c r="DG39" s="4"/>
      <c r="DH39" s="4"/>
      <c r="DI39" s="4"/>
      <c r="DJ39" s="4"/>
      <c r="DK39" s="4">
        <v>0</v>
      </c>
      <c r="DL39" s="4"/>
      <c r="DM39" s="4"/>
      <c r="DN39" s="4"/>
      <c r="DO39" s="4"/>
      <c r="DP39" s="4"/>
      <c r="DQ39" s="31">
        <v>0</v>
      </c>
      <c r="DR39" s="31"/>
      <c r="DS39" s="39"/>
      <c r="DT39" s="32"/>
      <c r="DU39" s="32"/>
      <c r="DV39" s="32"/>
      <c r="DW39" s="4">
        <v>0</v>
      </c>
      <c r="DX39" s="4"/>
      <c r="DY39" s="4"/>
      <c r="DZ39" s="4"/>
      <c r="EA39" s="4"/>
      <c r="EB39" s="4"/>
      <c r="EC39" s="4">
        <v>0</v>
      </c>
      <c r="ED39" s="4"/>
      <c r="EE39" s="4"/>
      <c r="EF39" s="4">
        <v>0</v>
      </c>
      <c r="EG39" s="4"/>
      <c r="EH39" s="4"/>
      <c r="EI39" s="4"/>
      <c r="EJ39" s="26"/>
      <c r="EK39" s="26"/>
      <c r="EL39" s="26"/>
    </row>
    <row r="40" spans="1:142" hidden="1">
      <c r="A40" s="11">
        <v>37</v>
      </c>
      <c r="B40" s="104">
        <v>10771</v>
      </c>
      <c r="C40" s="36" t="s">
        <v>68</v>
      </c>
      <c r="D40" s="5">
        <v>1313088577</v>
      </c>
      <c r="E40" s="4" t="s">
        <v>42</v>
      </c>
      <c r="F40" s="26" t="s">
        <v>171</v>
      </c>
      <c r="G40" s="5" t="s">
        <v>58</v>
      </c>
      <c r="H40" s="4">
        <v>1</v>
      </c>
      <c r="I40" s="4" t="s">
        <v>785</v>
      </c>
      <c r="J40" s="39">
        <f t="shared" si="10"/>
        <v>45545</v>
      </c>
      <c r="K40" s="39">
        <v>45545</v>
      </c>
      <c r="L40" s="32">
        <v>46200</v>
      </c>
      <c r="M40" s="39" t="s">
        <v>775</v>
      </c>
      <c r="N40" s="4">
        <v>1</v>
      </c>
      <c r="O40" s="4" t="s">
        <v>802</v>
      </c>
      <c r="P40" s="32">
        <f t="shared" si="1"/>
        <v>45954</v>
      </c>
      <c r="Q40" s="39">
        <v>45954</v>
      </c>
      <c r="R40" s="32">
        <v>46200</v>
      </c>
      <c r="S40" s="39" t="s">
        <v>775</v>
      </c>
      <c r="T40" s="4">
        <v>1</v>
      </c>
      <c r="U40" s="4" t="s">
        <v>822</v>
      </c>
      <c r="V40" s="39">
        <f t="shared" si="11"/>
        <v>45545</v>
      </c>
      <c r="W40" s="39">
        <v>45545</v>
      </c>
      <c r="X40" s="32">
        <v>46200</v>
      </c>
      <c r="Y40" s="39" t="s">
        <v>775</v>
      </c>
      <c r="Z40" s="4">
        <v>0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>
        <v>0</v>
      </c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>
        <v>0</v>
      </c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>
        <v>0</v>
      </c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>
        <v>0</v>
      </c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>
        <v>0</v>
      </c>
      <c r="CD40" s="4"/>
      <c r="CE40" s="4"/>
      <c r="CF40" s="4"/>
      <c r="CG40" s="4"/>
      <c r="CH40" s="4"/>
      <c r="CI40" s="4">
        <v>0</v>
      </c>
      <c r="CJ40" s="4"/>
      <c r="CK40" s="4"/>
      <c r="CL40" s="4"/>
      <c r="CM40" s="4"/>
      <c r="CN40" s="4"/>
      <c r="CO40" s="4">
        <v>1</v>
      </c>
      <c r="CP40" s="4" t="s">
        <v>856</v>
      </c>
      <c r="CQ40" s="39">
        <f t="shared" si="19"/>
        <v>45732</v>
      </c>
      <c r="CR40" s="39">
        <v>45732</v>
      </c>
      <c r="CS40" s="32">
        <v>46200</v>
      </c>
      <c r="CT40" s="32" t="s">
        <v>405</v>
      </c>
      <c r="CU40" s="4">
        <v>1</v>
      </c>
      <c r="CV40" s="4" t="s">
        <v>866</v>
      </c>
      <c r="CW40" s="39">
        <f>CX40</f>
        <v>45732</v>
      </c>
      <c r="CX40" s="39">
        <v>45732</v>
      </c>
      <c r="CY40" s="33">
        <v>45658</v>
      </c>
      <c r="CZ40" s="34">
        <v>46388</v>
      </c>
      <c r="DA40" s="31" t="s">
        <v>166</v>
      </c>
      <c r="DB40" s="31" t="s">
        <v>167</v>
      </c>
      <c r="DC40" s="32">
        <v>46200</v>
      </c>
      <c r="DD40" s="39" t="s">
        <v>775</v>
      </c>
      <c r="DE40" s="4">
        <v>0</v>
      </c>
      <c r="DF40" s="4"/>
      <c r="DG40" s="4"/>
      <c r="DH40" s="4"/>
      <c r="DI40" s="4"/>
      <c r="DJ40" s="4"/>
      <c r="DK40" s="4">
        <v>0</v>
      </c>
      <c r="DL40" s="4"/>
      <c r="DM40" s="4"/>
      <c r="DN40" s="4"/>
      <c r="DO40" s="4"/>
      <c r="DP40" s="4"/>
      <c r="DQ40" s="31">
        <v>1</v>
      </c>
      <c r="DR40" s="31" t="s">
        <v>877</v>
      </c>
      <c r="DS40" s="39">
        <v>45812</v>
      </c>
      <c r="DT40" s="32">
        <f>DS40</f>
        <v>45812</v>
      </c>
      <c r="DU40" s="32">
        <v>46050</v>
      </c>
      <c r="DV40" s="32" t="s">
        <v>775</v>
      </c>
      <c r="DW40" s="4">
        <v>0</v>
      </c>
      <c r="DX40" s="4"/>
      <c r="DY40" s="39"/>
      <c r="DZ40" s="32"/>
      <c r="EA40" s="32"/>
      <c r="EB40" s="32"/>
      <c r="EC40" s="4">
        <v>0</v>
      </c>
      <c r="ED40" s="4"/>
      <c r="EE40" s="4"/>
      <c r="EF40" s="4">
        <v>0</v>
      </c>
      <c r="EG40" s="4"/>
      <c r="EH40" s="4"/>
      <c r="EI40" s="4"/>
      <c r="EJ40" s="26"/>
      <c r="EK40" s="26"/>
      <c r="EL40" s="26"/>
    </row>
    <row r="41" spans="1:142" hidden="1">
      <c r="A41" s="11">
        <v>38</v>
      </c>
      <c r="B41" s="104">
        <v>10834</v>
      </c>
      <c r="C41" s="36" t="s">
        <v>69</v>
      </c>
      <c r="D41" s="5">
        <v>1313438672</v>
      </c>
      <c r="E41" s="3" t="s">
        <v>45</v>
      </c>
      <c r="F41" s="26" t="s">
        <v>171</v>
      </c>
      <c r="G41" s="5" t="s">
        <v>58</v>
      </c>
      <c r="H41" s="4">
        <v>1</v>
      </c>
      <c r="I41" s="4" t="s">
        <v>786</v>
      </c>
      <c r="J41" s="39">
        <f t="shared" si="10"/>
        <v>45545</v>
      </c>
      <c r="K41" s="39">
        <v>45545</v>
      </c>
      <c r="L41" s="32">
        <v>46200</v>
      </c>
      <c r="M41" s="32" t="s">
        <v>405</v>
      </c>
      <c r="N41" s="4">
        <v>1</v>
      </c>
      <c r="O41" s="4" t="s">
        <v>803</v>
      </c>
      <c r="P41" s="32">
        <f t="shared" si="1"/>
        <v>45954</v>
      </c>
      <c r="Q41" s="39">
        <v>45954</v>
      </c>
      <c r="R41" s="32">
        <v>46200</v>
      </c>
      <c r="S41" s="39" t="s">
        <v>775</v>
      </c>
      <c r="T41" s="4">
        <v>1</v>
      </c>
      <c r="U41" s="4" t="s">
        <v>823</v>
      </c>
      <c r="V41" s="39">
        <f t="shared" si="11"/>
        <v>45545</v>
      </c>
      <c r="W41" s="39">
        <v>45545</v>
      </c>
      <c r="X41" s="32">
        <v>46200</v>
      </c>
      <c r="Y41" s="32" t="s">
        <v>405</v>
      </c>
      <c r="Z41" s="4">
        <v>0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>
        <v>0</v>
      </c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>
        <v>0</v>
      </c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>
        <v>0</v>
      </c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>
        <v>0</v>
      </c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>
        <v>0</v>
      </c>
      <c r="CD41" s="4"/>
      <c r="CE41" s="4"/>
      <c r="CF41" s="4"/>
      <c r="CG41" s="4"/>
      <c r="CH41" s="4"/>
      <c r="CI41" s="4">
        <v>0</v>
      </c>
      <c r="CJ41" s="4"/>
      <c r="CK41" s="4"/>
      <c r="CL41" s="4"/>
      <c r="CM41" s="4"/>
      <c r="CN41" s="4"/>
      <c r="CO41" s="4">
        <v>1</v>
      </c>
      <c r="CP41" s="4" t="s">
        <v>857</v>
      </c>
      <c r="CQ41" s="39">
        <f t="shared" si="19"/>
        <v>45732</v>
      </c>
      <c r="CR41" s="39">
        <v>45732</v>
      </c>
      <c r="CS41" s="32">
        <v>46200</v>
      </c>
      <c r="CT41" s="32" t="s">
        <v>405</v>
      </c>
      <c r="CU41" s="4">
        <v>0</v>
      </c>
      <c r="CV41" s="4"/>
      <c r="CW41" s="39"/>
      <c r="CX41" s="39"/>
      <c r="CY41" s="33"/>
      <c r="CZ41" s="34"/>
      <c r="DA41" s="31"/>
      <c r="DB41" s="31"/>
      <c r="DC41" s="31"/>
      <c r="DD41" s="31"/>
      <c r="DE41" s="4">
        <v>0</v>
      </c>
      <c r="DF41" s="4"/>
      <c r="DG41" s="4"/>
      <c r="DH41" s="4"/>
      <c r="DI41" s="4"/>
      <c r="DJ41" s="4"/>
      <c r="DK41" s="4">
        <v>0</v>
      </c>
      <c r="DL41" s="4"/>
      <c r="DM41" s="4"/>
      <c r="DN41" s="4"/>
      <c r="DO41" s="4"/>
      <c r="DP41" s="4"/>
      <c r="DQ41" s="31">
        <v>1</v>
      </c>
      <c r="DR41" s="31" t="s">
        <v>878</v>
      </c>
      <c r="DS41" s="39">
        <v>45812</v>
      </c>
      <c r="DT41" s="32">
        <f>DS41</f>
        <v>45812</v>
      </c>
      <c r="DU41" s="32">
        <v>46052</v>
      </c>
      <c r="DV41" s="32" t="s">
        <v>775</v>
      </c>
      <c r="DW41" s="4">
        <v>1</v>
      </c>
      <c r="DX41" s="4" t="s">
        <v>885</v>
      </c>
      <c r="DY41" s="39">
        <v>45732</v>
      </c>
      <c r="DZ41" s="32">
        <f>DY41</f>
        <v>45732</v>
      </c>
      <c r="EA41" s="32">
        <v>46052</v>
      </c>
      <c r="EB41" s="32" t="s">
        <v>775</v>
      </c>
      <c r="EC41" s="4">
        <v>0</v>
      </c>
      <c r="ED41" s="4"/>
      <c r="EE41" s="4"/>
      <c r="EF41" s="4">
        <v>0</v>
      </c>
      <c r="EG41" s="4"/>
      <c r="EH41" s="4"/>
      <c r="EI41" s="4"/>
      <c r="EJ41" s="26"/>
      <c r="EK41" s="26"/>
      <c r="EL41" s="26"/>
    </row>
    <row r="42" spans="1:142" ht="25.5" hidden="1">
      <c r="A42" s="11">
        <v>39</v>
      </c>
      <c r="B42" s="104">
        <v>11007</v>
      </c>
      <c r="C42" s="37" t="s">
        <v>70</v>
      </c>
      <c r="D42" s="5">
        <v>1313088473</v>
      </c>
      <c r="E42" s="5" t="s">
        <v>42</v>
      </c>
      <c r="F42" s="26" t="s">
        <v>171</v>
      </c>
      <c r="G42" s="5" t="s">
        <v>58</v>
      </c>
      <c r="H42" s="4">
        <v>1</v>
      </c>
      <c r="I42" s="4" t="s">
        <v>787</v>
      </c>
      <c r="J42" s="39">
        <f t="shared" si="10"/>
        <v>45545</v>
      </c>
      <c r="K42" s="39">
        <v>45545</v>
      </c>
      <c r="L42" s="32">
        <v>46200</v>
      </c>
      <c r="M42" s="39" t="s">
        <v>775</v>
      </c>
      <c r="N42" s="4">
        <v>1</v>
      </c>
      <c r="O42" s="4" t="s">
        <v>804</v>
      </c>
      <c r="P42" s="32">
        <f t="shared" si="1"/>
        <v>45954</v>
      </c>
      <c r="Q42" s="39">
        <v>45954</v>
      </c>
      <c r="R42" s="32">
        <v>46200</v>
      </c>
      <c r="S42" s="39" t="s">
        <v>775</v>
      </c>
      <c r="T42" s="4">
        <v>1</v>
      </c>
      <c r="U42" s="4" t="s">
        <v>824</v>
      </c>
      <c r="V42" s="39">
        <f t="shared" si="11"/>
        <v>45545</v>
      </c>
      <c r="W42" s="39">
        <v>45545</v>
      </c>
      <c r="X42" s="32">
        <v>46200</v>
      </c>
      <c r="Y42" s="39" t="s">
        <v>775</v>
      </c>
      <c r="Z42" s="4">
        <v>0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>
        <v>0</v>
      </c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>
        <v>0</v>
      </c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>
        <v>0</v>
      </c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>
        <v>0</v>
      </c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>
        <v>0</v>
      </c>
      <c r="CD42" s="4"/>
      <c r="CE42" s="4"/>
      <c r="CF42" s="4"/>
      <c r="CG42" s="4"/>
      <c r="CH42" s="4"/>
      <c r="CI42" s="4">
        <v>0</v>
      </c>
      <c r="CJ42" s="4"/>
      <c r="CK42" s="4"/>
      <c r="CL42" s="4"/>
      <c r="CM42" s="4"/>
      <c r="CN42" s="4"/>
      <c r="CO42" s="4">
        <v>1</v>
      </c>
      <c r="CP42" s="4" t="s">
        <v>858</v>
      </c>
      <c r="CQ42" s="39">
        <f t="shared" si="19"/>
        <v>45732</v>
      </c>
      <c r="CR42" s="39">
        <v>45732</v>
      </c>
      <c r="CS42" s="32">
        <v>46200</v>
      </c>
      <c r="CT42" s="39" t="s">
        <v>775</v>
      </c>
      <c r="CU42" s="4">
        <v>1</v>
      </c>
      <c r="CV42" s="4" t="s">
        <v>867</v>
      </c>
      <c r="CW42" s="39">
        <f>CX42</f>
        <v>45732</v>
      </c>
      <c r="CX42" s="39">
        <v>45732</v>
      </c>
      <c r="CY42" s="33">
        <v>45658</v>
      </c>
      <c r="CZ42" s="34">
        <v>46388</v>
      </c>
      <c r="DA42" s="31" t="s">
        <v>166</v>
      </c>
      <c r="DB42" s="31" t="s">
        <v>167</v>
      </c>
      <c r="DC42" s="32">
        <v>46200</v>
      </c>
      <c r="DD42" s="39" t="s">
        <v>775</v>
      </c>
      <c r="DE42" s="4">
        <v>0</v>
      </c>
      <c r="DF42" s="4"/>
      <c r="DG42" s="4"/>
      <c r="DH42" s="4"/>
      <c r="DI42" s="4"/>
      <c r="DJ42" s="4"/>
      <c r="DK42" s="4">
        <v>0</v>
      </c>
      <c r="DL42" s="4"/>
      <c r="DM42" s="4"/>
      <c r="DN42" s="4"/>
      <c r="DO42" s="4"/>
      <c r="DP42" s="4"/>
      <c r="DQ42" s="31">
        <v>1</v>
      </c>
      <c r="DR42" s="31" t="s">
        <v>879</v>
      </c>
      <c r="DS42" s="39">
        <v>45812</v>
      </c>
      <c r="DT42" s="32">
        <f>DS42</f>
        <v>45812</v>
      </c>
      <c r="DU42" s="39">
        <v>46050</v>
      </c>
      <c r="DV42" s="39" t="s">
        <v>775</v>
      </c>
      <c r="DW42" s="4">
        <v>0</v>
      </c>
      <c r="DX42" s="4"/>
      <c r="DY42" s="4"/>
      <c r="DZ42" s="4"/>
      <c r="EA42" s="4"/>
      <c r="EB42" s="4"/>
      <c r="EC42" s="4">
        <v>0</v>
      </c>
      <c r="ED42" s="4"/>
      <c r="EE42" s="4"/>
      <c r="EF42" s="4">
        <v>0</v>
      </c>
      <c r="EG42" s="4"/>
      <c r="EH42" s="4"/>
      <c r="EI42" s="4"/>
      <c r="EJ42" s="26"/>
      <c r="EK42" s="26"/>
      <c r="EL42" s="26"/>
    </row>
    <row r="43" spans="1:142" hidden="1">
      <c r="A43" s="11">
        <v>40</v>
      </c>
      <c r="B43" s="110">
        <v>11059</v>
      </c>
      <c r="C43" s="36" t="s">
        <v>71</v>
      </c>
      <c r="D43" s="3">
        <v>1313088407</v>
      </c>
      <c r="E43" s="4" t="s">
        <v>44</v>
      </c>
      <c r="F43" s="26" t="s">
        <v>171</v>
      </c>
      <c r="G43" s="5" t="s">
        <v>58</v>
      </c>
      <c r="H43" s="4">
        <v>1</v>
      </c>
      <c r="I43" s="4" t="s">
        <v>788</v>
      </c>
      <c r="J43" s="39">
        <f t="shared" si="10"/>
        <v>45545</v>
      </c>
      <c r="K43" s="39">
        <v>45545</v>
      </c>
      <c r="L43" s="32">
        <v>46200</v>
      </c>
      <c r="M43" s="39" t="s">
        <v>775</v>
      </c>
      <c r="N43" s="4">
        <v>1</v>
      </c>
      <c r="O43" s="4" t="s">
        <v>805</v>
      </c>
      <c r="P43" s="32">
        <f t="shared" si="1"/>
        <v>45954</v>
      </c>
      <c r="Q43" s="39">
        <v>45954</v>
      </c>
      <c r="R43" s="32">
        <v>46200</v>
      </c>
      <c r="S43" s="39" t="s">
        <v>775</v>
      </c>
      <c r="T43" s="4">
        <v>1</v>
      </c>
      <c r="U43" s="4" t="s">
        <v>825</v>
      </c>
      <c r="V43" s="39">
        <f t="shared" si="11"/>
        <v>45802</v>
      </c>
      <c r="W43" s="39">
        <v>45802</v>
      </c>
      <c r="X43" s="32">
        <v>46200</v>
      </c>
      <c r="Y43" s="39" t="s">
        <v>775</v>
      </c>
      <c r="Z43" s="5">
        <v>0</v>
      </c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4">
        <v>0</v>
      </c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5">
        <v>0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0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>
        <v>0</v>
      </c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4">
        <v>0</v>
      </c>
      <c r="CD43" s="4"/>
      <c r="CE43" s="4"/>
      <c r="CF43" s="4"/>
      <c r="CG43" s="4"/>
      <c r="CH43" s="4"/>
      <c r="CI43" s="4">
        <v>0</v>
      </c>
      <c r="CJ43" s="4"/>
      <c r="CK43" s="4"/>
      <c r="CL43" s="4"/>
      <c r="CM43" s="4"/>
      <c r="CN43" s="4"/>
      <c r="CO43" s="4">
        <v>0</v>
      </c>
      <c r="CP43" s="4"/>
      <c r="CQ43" s="39"/>
      <c r="CR43" s="39"/>
      <c r="CS43" s="39"/>
      <c r="CT43" s="39"/>
      <c r="CU43" s="4">
        <v>0</v>
      </c>
      <c r="CV43" s="4"/>
      <c r="CW43" s="39"/>
      <c r="CX43" s="39"/>
      <c r="CY43" s="33"/>
      <c r="CZ43" s="34"/>
      <c r="DA43" s="31"/>
      <c r="DB43" s="31"/>
      <c r="DC43" s="31"/>
      <c r="DD43" s="31"/>
      <c r="DE43" s="4">
        <v>0</v>
      </c>
      <c r="DF43" s="4"/>
      <c r="DG43" s="39"/>
      <c r="DH43" s="32"/>
      <c r="DI43" s="32"/>
      <c r="DJ43" s="32"/>
      <c r="DK43" s="4">
        <v>0</v>
      </c>
      <c r="DL43" s="4"/>
      <c r="DM43" s="4"/>
      <c r="DN43" s="4"/>
      <c r="DO43" s="4"/>
      <c r="DP43" s="4"/>
      <c r="DQ43" s="31">
        <v>0</v>
      </c>
      <c r="DR43" s="31"/>
      <c r="DS43" s="39"/>
      <c r="DT43" s="32"/>
      <c r="DU43" s="32"/>
      <c r="DV43" s="32"/>
      <c r="DW43" s="4">
        <v>0</v>
      </c>
      <c r="DX43" s="4"/>
      <c r="DY43" s="4"/>
      <c r="DZ43" s="4"/>
      <c r="EA43" s="4"/>
      <c r="EB43" s="4"/>
      <c r="EC43" s="4">
        <v>0</v>
      </c>
      <c r="ED43" s="4"/>
      <c r="EE43" s="4"/>
      <c r="EF43" s="4">
        <v>0</v>
      </c>
      <c r="EG43" s="4"/>
      <c r="EH43" s="4"/>
      <c r="EI43" s="4"/>
      <c r="EJ43" s="26"/>
      <c r="EK43" s="26"/>
      <c r="EL43" s="26"/>
    </row>
    <row r="44" spans="1:142" hidden="1">
      <c r="A44" s="11">
        <v>41</v>
      </c>
      <c r="B44" s="109">
        <v>11373</v>
      </c>
      <c r="C44" s="37" t="s">
        <v>72</v>
      </c>
      <c r="D44" s="5">
        <v>1313088257</v>
      </c>
      <c r="E44" s="3" t="s">
        <v>45</v>
      </c>
      <c r="F44" s="26" t="s">
        <v>171</v>
      </c>
      <c r="G44" s="5" t="s">
        <v>58</v>
      </c>
      <c r="H44" s="4">
        <v>1</v>
      </c>
      <c r="I44" s="4" t="s">
        <v>789</v>
      </c>
      <c r="J44" s="39">
        <f t="shared" si="10"/>
        <v>45802</v>
      </c>
      <c r="K44" s="39">
        <v>45802</v>
      </c>
      <c r="L44" s="32">
        <v>46200</v>
      </c>
      <c r="M44" s="39" t="s">
        <v>775</v>
      </c>
      <c r="N44" s="4">
        <v>1</v>
      </c>
      <c r="O44" s="4" t="s">
        <v>806</v>
      </c>
      <c r="P44" s="32">
        <f t="shared" si="1"/>
        <v>45954</v>
      </c>
      <c r="Q44" s="39">
        <v>45954</v>
      </c>
      <c r="R44" s="32">
        <v>46200</v>
      </c>
      <c r="S44" s="39" t="s">
        <v>775</v>
      </c>
      <c r="T44" s="4">
        <v>1</v>
      </c>
      <c r="U44" s="4" t="s">
        <v>826</v>
      </c>
      <c r="V44" s="39">
        <f t="shared" si="11"/>
        <v>45802</v>
      </c>
      <c r="W44" s="39">
        <v>45802</v>
      </c>
      <c r="X44" s="32">
        <v>46200</v>
      </c>
      <c r="Y44" s="39" t="s">
        <v>775</v>
      </c>
      <c r="Z44" s="4">
        <v>0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>
        <v>0</v>
      </c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>
        <v>0</v>
      </c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>
        <v>0</v>
      </c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>
        <v>0</v>
      </c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>
        <v>0</v>
      </c>
      <c r="CD44" s="4"/>
      <c r="CE44" s="4"/>
      <c r="CF44" s="4"/>
      <c r="CG44" s="4"/>
      <c r="CH44" s="4"/>
      <c r="CI44" s="4">
        <v>0</v>
      </c>
      <c r="CJ44" s="4"/>
      <c r="CK44" s="4"/>
      <c r="CL44" s="4"/>
      <c r="CM44" s="4"/>
      <c r="CN44" s="4"/>
      <c r="CO44" s="4">
        <v>0</v>
      </c>
      <c r="CP44" s="4"/>
      <c r="CQ44" s="39"/>
      <c r="CR44" s="39"/>
      <c r="CS44" s="39"/>
      <c r="CT44" s="39"/>
      <c r="CU44" s="4">
        <v>0</v>
      </c>
      <c r="CV44" s="4"/>
      <c r="CW44" s="39"/>
      <c r="CX44" s="39"/>
      <c r="CY44" s="33"/>
      <c r="CZ44" s="34"/>
      <c r="DA44" s="31"/>
      <c r="DB44" s="31"/>
      <c r="DC44" s="31"/>
      <c r="DD44" s="31"/>
      <c r="DE44" s="4">
        <v>0</v>
      </c>
      <c r="DF44" s="4"/>
      <c r="DG44" s="4"/>
      <c r="DH44" s="4"/>
      <c r="DI44" s="4"/>
      <c r="DJ44" s="4"/>
      <c r="DK44" s="4">
        <v>0</v>
      </c>
      <c r="DL44" s="4"/>
      <c r="DM44" s="4"/>
      <c r="DN44" s="4"/>
      <c r="DO44" s="4"/>
      <c r="DP44" s="4"/>
      <c r="DQ44" s="31">
        <v>0</v>
      </c>
      <c r="DR44" s="31"/>
      <c r="DS44" s="39"/>
      <c r="DT44" s="32"/>
      <c r="DU44" s="32"/>
      <c r="DV44" s="32"/>
      <c r="DW44" s="4">
        <v>0</v>
      </c>
      <c r="DX44" s="4"/>
      <c r="DY44" s="4"/>
      <c r="DZ44" s="4"/>
      <c r="EA44" s="4"/>
      <c r="EB44" s="4"/>
      <c r="EC44" s="4">
        <v>0</v>
      </c>
      <c r="ED44" s="4"/>
      <c r="EE44" s="4"/>
      <c r="EF44" s="4">
        <v>0</v>
      </c>
      <c r="EG44" s="4"/>
      <c r="EH44" s="4"/>
      <c r="EI44" s="4"/>
      <c r="EJ44" s="26"/>
      <c r="EK44" s="26"/>
      <c r="EL44" s="26"/>
    </row>
    <row r="45" spans="1:142" hidden="1">
      <c r="A45" s="11">
        <v>42</v>
      </c>
      <c r="B45" s="109">
        <v>11379</v>
      </c>
      <c r="C45" s="37" t="s">
        <v>73</v>
      </c>
      <c r="D45" s="5">
        <v>1313438696</v>
      </c>
      <c r="E45" s="5" t="s">
        <v>40</v>
      </c>
      <c r="F45" s="26" t="s">
        <v>171</v>
      </c>
      <c r="G45" s="5" t="s">
        <v>58</v>
      </c>
      <c r="H45" s="4">
        <v>1</v>
      </c>
      <c r="I45" s="4" t="s">
        <v>790</v>
      </c>
      <c r="J45" s="39">
        <f t="shared" si="10"/>
        <v>45802</v>
      </c>
      <c r="K45" s="39">
        <v>45802</v>
      </c>
      <c r="L45" s="32">
        <v>46200</v>
      </c>
      <c r="M45" s="39" t="s">
        <v>775</v>
      </c>
      <c r="N45" s="4">
        <v>1</v>
      </c>
      <c r="O45" s="4" t="s">
        <v>807</v>
      </c>
      <c r="P45" s="32">
        <f t="shared" si="1"/>
        <v>45954</v>
      </c>
      <c r="Q45" s="39">
        <v>45954</v>
      </c>
      <c r="R45" s="32">
        <v>46200</v>
      </c>
      <c r="S45" s="39" t="s">
        <v>775</v>
      </c>
      <c r="T45" s="4">
        <v>1</v>
      </c>
      <c r="U45" s="4" t="s">
        <v>827</v>
      </c>
      <c r="V45" s="39">
        <f t="shared" si="11"/>
        <v>45802</v>
      </c>
      <c r="W45" s="39">
        <v>45802</v>
      </c>
      <c r="X45" s="32">
        <v>46200</v>
      </c>
      <c r="Y45" s="39" t="s">
        <v>775</v>
      </c>
      <c r="Z45" s="4">
        <v>0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>
        <v>0</v>
      </c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>
        <v>0</v>
      </c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>
        <v>0</v>
      </c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>
        <v>0</v>
      </c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>
        <v>0</v>
      </c>
      <c r="CD45" s="4"/>
      <c r="CE45" s="4"/>
      <c r="CF45" s="4"/>
      <c r="CG45" s="4"/>
      <c r="CH45" s="4"/>
      <c r="CI45" s="4">
        <v>0</v>
      </c>
      <c r="CJ45" s="4"/>
      <c r="CK45" s="4"/>
      <c r="CL45" s="4"/>
      <c r="CM45" s="4"/>
      <c r="CN45" s="4"/>
      <c r="CO45" s="4">
        <v>0</v>
      </c>
      <c r="CP45" s="4"/>
      <c r="CQ45" s="39"/>
      <c r="CR45" s="39"/>
      <c r="CS45" s="39"/>
      <c r="CT45" s="39"/>
      <c r="CU45" s="4">
        <v>0</v>
      </c>
      <c r="CV45" s="4"/>
      <c r="CW45" s="39"/>
      <c r="CX45" s="39"/>
      <c r="CY45" s="33"/>
      <c r="CZ45" s="34"/>
      <c r="DA45" s="31"/>
      <c r="DB45" s="31"/>
      <c r="DC45" s="31"/>
      <c r="DD45" s="31"/>
      <c r="DE45" s="4">
        <v>0</v>
      </c>
      <c r="DF45" s="4"/>
      <c r="DG45" s="4"/>
      <c r="DH45" s="4"/>
      <c r="DI45" s="4"/>
      <c r="DJ45" s="4"/>
      <c r="DK45" s="4">
        <v>0</v>
      </c>
      <c r="DL45" s="4"/>
      <c r="DM45" s="4"/>
      <c r="DN45" s="4"/>
      <c r="DO45" s="4"/>
      <c r="DP45" s="4"/>
      <c r="DQ45" s="31">
        <v>1</v>
      </c>
      <c r="DR45" s="31" t="s">
        <v>880</v>
      </c>
      <c r="DS45" s="39">
        <v>45812</v>
      </c>
      <c r="DT45" s="32">
        <f>DS45</f>
        <v>45812</v>
      </c>
      <c r="DU45" s="32">
        <v>46050</v>
      </c>
      <c r="DV45" s="32" t="s">
        <v>775</v>
      </c>
      <c r="DW45" s="4">
        <v>0</v>
      </c>
      <c r="DX45" s="4"/>
      <c r="DY45" s="4"/>
      <c r="DZ45" s="4"/>
      <c r="EA45" s="4"/>
      <c r="EB45" s="4"/>
      <c r="EC45" s="4">
        <v>0</v>
      </c>
      <c r="ED45" s="4"/>
      <c r="EE45" s="4"/>
      <c r="EF45" s="4">
        <v>0</v>
      </c>
      <c r="EG45" s="4"/>
      <c r="EH45" s="4"/>
      <c r="EI45" s="4"/>
      <c r="EJ45" s="26"/>
      <c r="EK45" s="26"/>
      <c r="EL45" s="26"/>
    </row>
    <row r="46" spans="1:142" hidden="1">
      <c r="A46" s="11">
        <v>43</v>
      </c>
      <c r="B46" s="109">
        <v>11525</v>
      </c>
      <c r="C46" s="37" t="s">
        <v>75</v>
      </c>
      <c r="D46" s="5">
        <v>1313088280</v>
      </c>
      <c r="E46" s="4" t="s">
        <v>33</v>
      </c>
      <c r="F46" s="26" t="s">
        <v>171</v>
      </c>
      <c r="G46" s="5" t="s">
        <v>58</v>
      </c>
      <c r="H46" s="4">
        <v>1</v>
      </c>
      <c r="I46" s="4" t="s">
        <v>791</v>
      </c>
      <c r="J46" s="39">
        <f t="shared" si="10"/>
        <v>45802</v>
      </c>
      <c r="K46" s="39">
        <v>45802</v>
      </c>
      <c r="L46" s="32">
        <v>46200</v>
      </c>
      <c r="M46" s="39" t="s">
        <v>775</v>
      </c>
      <c r="N46" s="4">
        <v>1</v>
      </c>
      <c r="O46" s="4" t="s">
        <v>808</v>
      </c>
      <c r="P46" s="32">
        <f t="shared" si="1"/>
        <v>45954</v>
      </c>
      <c r="Q46" s="39">
        <v>45954</v>
      </c>
      <c r="R46" s="32">
        <v>46200</v>
      </c>
      <c r="S46" s="39" t="s">
        <v>775</v>
      </c>
      <c r="T46" s="4">
        <v>1</v>
      </c>
      <c r="U46" s="4" t="s">
        <v>828</v>
      </c>
      <c r="V46" s="39">
        <f t="shared" si="11"/>
        <v>45802</v>
      </c>
      <c r="W46" s="39">
        <v>45802</v>
      </c>
      <c r="X46" s="32">
        <v>46200</v>
      </c>
      <c r="Y46" s="39" t="s">
        <v>775</v>
      </c>
      <c r="Z46" s="4">
        <v>0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>
        <v>0</v>
      </c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>
        <v>0</v>
      </c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>
        <v>0</v>
      </c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>
        <v>0</v>
      </c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>
        <v>0</v>
      </c>
      <c r="CD46" s="4"/>
      <c r="CE46" s="4"/>
      <c r="CF46" s="4"/>
      <c r="CG46" s="4"/>
      <c r="CH46" s="4"/>
      <c r="CI46" s="4">
        <v>0</v>
      </c>
      <c r="CJ46" s="4"/>
      <c r="CK46" s="4"/>
      <c r="CL46" s="4"/>
      <c r="CM46" s="4"/>
      <c r="CN46" s="4"/>
      <c r="CO46" s="4">
        <v>0</v>
      </c>
      <c r="CP46" s="4"/>
      <c r="CQ46" s="39"/>
      <c r="CR46" s="39"/>
      <c r="CS46" s="39"/>
      <c r="CT46" s="39"/>
      <c r="CU46" s="4">
        <v>0</v>
      </c>
      <c r="CV46" s="4"/>
      <c r="CW46" s="39"/>
      <c r="CX46" s="39"/>
      <c r="CY46" s="33"/>
      <c r="CZ46" s="34"/>
      <c r="DA46" s="31"/>
      <c r="DB46" s="31"/>
      <c r="DC46" s="31"/>
      <c r="DD46" s="31"/>
      <c r="DE46" s="4">
        <v>0</v>
      </c>
      <c r="DF46" s="4"/>
      <c r="DG46" s="4"/>
      <c r="DH46" s="4"/>
      <c r="DI46" s="4"/>
      <c r="DJ46" s="4"/>
      <c r="DK46" s="4">
        <v>0</v>
      </c>
      <c r="DL46" s="4"/>
      <c r="DM46" s="4"/>
      <c r="DN46" s="4"/>
      <c r="DO46" s="4"/>
      <c r="DP46" s="4"/>
      <c r="DQ46" s="31">
        <v>0</v>
      </c>
      <c r="DR46" s="31"/>
      <c r="DS46" s="39"/>
      <c r="DT46" s="32"/>
      <c r="DU46" s="32"/>
      <c r="DV46" s="32"/>
      <c r="DW46" s="4">
        <v>0</v>
      </c>
      <c r="DX46" s="4"/>
      <c r="DY46" s="4"/>
      <c r="DZ46" s="4"/>
      <c r="EA46" s="4"/>
      <c r="EB46" s="4"/>
      <c r="EC46" s="4">
        <v>0</v>
      </c>
      <c r="ED46" s="4"/>
      <c r="EE46" s="4"/>
      <c r="EF46" s="4">
        <v>0</v>
      </c>
      <c r="EG46" s="4"/>
      <c r="EH46" s="43"/>
      <c r="EI46" s="43"/>
      <c r="EJ46" s="26"/>
      <c r="EK46" s="26"/>
      <c r="EL46" s="26"/>
    </row>
    <row r="47" spans="1:142" hidden="1">
      <c r="A47" s="11">
        <v>44</v>
      </c>
      <c r="B47" s="109">
        <v>11552</v>
      </c>
      <c r="C47" s="37" t="s">
        <v>74</v>
      </c>
      <c r="D47" s="4">
        <v>1313088197</v>
      </c>
      <c r="E47" s="3" t="s">
        <v>41</v>
      </c>
      <c r="F47" s="26" t="s">
        <v>171</v>
      </c>
      <c r="G47" s="5" t="s">
        <v>58</v>
      </c>
      <c r="H47" s="4">
        <v>1</v>
      </c>
      <c r="I47" s="4" t="s">
        <v>792</v>
      </c>
      <c r="J47" s="39">
        <f t="shared" si="10"/>
        <v>45545</v>
      </c>
      <c r="K47" s="39">
        <v>45545</v>
      </c>
      <c r="L47" s="32">
        <v>46200</v>
      </c>
      <c r="M47" s="39" t="s">
        <v>775</v>
      </c>
      <c r="N47" s="4">
        <v>1</v>
      </c>
      <c r="O47" s="4" t="s">
        <v>809</v>
      </c>
      <c r="P47" s="32">
        <f t="shared" si="1"/>
        <v>45954</v>
      </c>
      <c r="Q47" s="39">
        <v>45954</v>
      </c>
      <c r="R47" s="32">
        <v>46200</v>
      </c>
      <c r="S47" s="39" t="s">
        <v>775</v>
      </c>
      <c r="T47" s="4">
        <v>1</v>
      </c>
      <c r="U47" s="4" t="s">
        <v>829</v>
      </c>
      <c r="V47" s="39">
        <f t="shared" si="11"/>
        <v>45545</v>
      </c>
      <c r="W47" s="39">
        <v>45545</v>
      </c>
      <c r="X47" s="32">
        <v>46200</v>
      </c>
      <c r="Y47" s="39" t="s">
        <v>775</v>
      </c>
      <c r="Z47" s="4">
        <v>0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>
        <v>0</v>
      </c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>
        <v>0</v>
      </c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>
        <v>0</v>
      </c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>
        <v>0</v>
      </c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>
        <v>0</v>
      </c>
      <c r="CD47" s="4"/>
      <c r="CE47" s="4"/>
      <c r="CF47" s="4"/>
      <c r="CG47" s="4"/>
      <c r="CH47" s="4"/>
      <c r="CI47" s="4">
        <v>0</v>
      </c>
      <c r="CJ47" s="4"/>
      <c r="CK47" s="4"/>
      <c r="CL47" s="4"/>
      <c r="CM47" s="4"/>
      <c r="CN47" s="4"/>
      <c r="CO47" s="4">
        <v>1</v>
      </c>
      <c r="CP47" s="4" t="s">
        <v>859</v>
      </c>
      <c r="CQ47" s="39">
        <f>CR47</f>
        <v>45732</v>
      </c>
      <c r="CR47" s="39">
        <v>45732</v>
      </c>
      <c r="CS47" s="32">
        <v>46200</v>
      </c>
      <c r="CT47" s="39" t="s">
        <v>775</v>
      </c>
      <c r="CU47" s="4">
        <v>0</v>
      </c>
      <c r="CV47" s="4"/>
      <c r="CW47" s="39"/>
      <c r="CX47" s="39"/>
      <c r="CY47" s="33"/>
      <c r="CZ47" s="34"/>
      <c r="DA47" s="31"/>
      <c r="DB47" s="31"/>
      <c r="DC47" s="31"/>
      <c r="DD47" s="31"/>
      <c r="DE47" s="4">
        <v>0</v>
      </c>
      <c r="DF47" s="4"/>
      <c r="DG47" s="4"/>
      <c r="DH47" s="4"/>
      <c r="DI47" s="4"/>
      <c r="DJ47" s="4"/>
      <c r="DK47" s="4">
        <v>1</v>
      </c>
      <c r="DL47" s="4" t="s">
        <v>872</v>
      </c>
      <c r="DM47" s="39">
        <f>DN47</f>
        <v>45910</v>
      </c>
      <c r="DN47" s="39">
        <v>45910</v>
      </c>
      <c r="DO47" s="39">
        <v>46051</v>
      </c>
      <c r="DP47" s="39" t="s">
        <v>775</v>
      </c>
      <c r="DQ47" s="31">
        <v>1</v>
      </c>
      <c r="DR47" s="31" t="s">
        <v>881</v>
      </c>
      <c r="DS47" s="39">
        <v>45812</v>
      </c>
      <c r="DT47" s="32">
        <f>DS47</f>
        <v>45812</v>
      </c>
      <c r="DU47" s="39">
        <v>46051</v>
      </c>
      <c r="DV47" s="39" t="s">
        <v>776</v>
      </c>
      <c r="DW47" s="4">
        <v>0</v>
      </c>
      <c r="DX47" s="4"/>
      <c r="DY47" s="39"/>
      <c r="DZ47" s="32"/>
      <c r="EA47" s="32"/>
      <c r="EB47" s="32"/>
      <c r="EC47" s="4">
        <v>0</v>
      </c>
      <c r="ED47" s="4"/>
      <c r="EE47" s="4"/>
      <c r="EF47" s="4">
        <v>0</v>
      </c>
      <c r="EG47" s="4"/>
      <c r="EH47" s="4"/>
      <c r="EI47" s="4"/>
      <c r="EJ47" s="26"/>
      <c r="EK47" s="26"/>
      <c r="EL47" s="26"/>
    </row>
    <row r="48" spans="1:142" hidden="1">
      <c r="A48" s="11">
        <v>45</v>
      </c>
      <c r="B48" s="112">
        <v>11572</v>
      </c>
      <c r="C48" s="42" t="s">
        <v>201</v>
      </c>
      <c r="D48" s="5">
        <v>1313088368</v>
      </c>
      <c r="E48" s="3" t="s">
        <v>41</v>
      </c>
      <c r="F48" s="26" t="s">
        <v>171</v>
      </c>
      <c r="G48" s="5" t="s">
        <v>58</v>
      </c>
      <c r="H48" s="15">
        <v>1</v>
      </c>
      <c r="I48" s="4" t="s">
        <v>793</v>
      </c>
      <c r="J48" s="39">
        <f t="shared" si="10"/>
        <v>45545</v>
      </c>
      <c r="K48" s="39">
        <v>45545</v>
      </c>
      <c r="L48" s="32">
        <v>46200</v>
      </c>
      <c r="M48" s="39" t="s">
        <v>775</v>
      </c>
      <c r="N48" s="15">
        <v>1</v>
      </c>
      <c r="O48" s="4" t="s">
        <v>810</v>
      </c>
      <c r="P48" s="32">
        <f t="shared" si="1"/>
        <v>45954</v>
      </c>
      <c r="Q48" s="39">
        <v>45954</v>
      </c>
      <c r="R48" s="32">
        <v>46200</v>
      </c>
      <c r="S48" s="39" t="s">
        <v>775</v>
      </c>
      <c r="T48" s="10">
        <v>1</v>
      </c>
      <c r="U48" s="4" t="s">
        <v>830</v>
      </c>
      <c r="V48" s="39">
        <f t="shared" si="11"/>
        <v>45545</v>
      </c>
      <c r="W48" s="39">
        <v>45545</v>
      </c>
      <c r="X48" s="32">
        <v>46200</v>
      </c>
      <c r="Y48" s="39" t="s">
        <v>775</v>
      </c>
      <c r="Z48" s="11">
        <v>0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>
        <v>0</v>
      </c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>
        <v>0</v>
      </c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>
        <v>0</v>
      </c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>
        <v>0</v>
      </c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>
        <v>0</v>
      </c>
      <c r="CD48" s="11"/>
      <c r="CE48" s="11"/>
      <c r="CF48" s="11"/>
      <c r="CG48" s="11"/>
      <c r="CH48" s="11"/>
      <c r="CI48" s="11">
        <v>0</v>
      </c>
      <c r="CJ48" s="11"/>
      <c r="CK48" s="11"/>
      <c r="CL48" s="11"/>
      <c r="CM48" s="11"/>
      <c r="CN48" s="11"/>
      <c r="CO48" s="11">
        <v>1</v>
      </c>
      <c r="CP48" s="4" t="s">
        <v>860</v>
      </c>
      <c r="CQ48" s="39">
        <f>CR48</f>
        <v>45732</v>
      </c>
      <c r="CR48" s="39">
        <v>45732</v>
      </c>
      <c r="CS48" s="32">
        <v>46200</v>
      </c>
      <c r="CT48" s="32" t="s">
        <v>775</v>
      </c>
      <c r="CU48" s="10">
        <v>0</v>
      </c>
      <c r="CV48" s="10"/>
      <c r="CW48" s="39"/>
      <c r="CX48" s="39"/>
      <c r="CY48" s="33"/>
      <c r="CZ48" s="34"/>
      <c r="DA48" s="31"/>
      <c r="DB48" s="31"/>
      <c r="DC48" s="31"/>
      <c r="DD48" s="31"/>
      <c r="DE48" s="11">
        <v>0</v>
      </c>
      <c r="DF48" s="11"/>
      <c r="DG48" s="11"/>
      <c r="DH48" s="11"/>
      <c r="DI48" s="11"/>
      <c r="DJ48" s="11"/>
      <c r="DK48" s="10">
        <v>0</v>
      </c>
      <c r="DL48" s="10"/>
      <c r="DM48" s="10"/>
      <c r="DN48" s="10"/>
      <c r="DO48" s="10"/>
      <c r="DP48" s="10"/>
      <c r="DQ48" s="31">
        <v>1</v>
      </c>
      <c r="DR48" s="31" t="s">
        <v>882</v>
      </c>
      <c r="DS48" s="39">
        <v>45812</v>
      </c>
      <c r="DT48" s="32">
        <f>DS48</f>
        <v>45812</v>
      </c>
      <c r="DU48" s="32">
        <v>46052</v>
      </c>
      <c r="DV48" s="32" t="s">
        <v>775</v>
      </c>
      <c r="DW48" s="10">
        <v>0</v>
      </c>
      <c r="DX48" s="10"/>
      <c r="DY48" s="10"/>
      <c r="DZ48" s="10"/>
      <c r="EA48" s="10"/>
      <c r="EB48" s="10"/>
      <c r="EC48" s="11">
        <v>0</v>
      </c>
      <c r="ED48" s="11"/>
      <c r="EE48" s="11"/>
      <c r="EF48" s="11">
        <v>0</v>
      </c>
      <c r="EG48" s="11"/>
      <c r="EH48" s="11"/>
      <c r="EI48" s="11"/>
      <c r="EJ48" s="26"/>
      <c r="EK48" s="26"/>
      <c r="EL48" s="26"/>
    </row>
    <row r="49" spans="1:142" hidden="1">
      <c r="A49" s="11">
        <v>46</v>
      </c>
      <c r="B49" s="104">
        <v>11824</v>
      </c>
      <c r="C49" s="132" t="s">
        <v>220</v>
      </c>
      <c r="D49" s="4">
        <v>1313088376</v>
      </c>
      <c r="E49" s="3" t="s">
        <v>30</v>
      </c>
      <c r="F49" s="26" t="s">
        <v>214</v>
      </c>
      <c r="G49" s="5" t="s">
        <v>58</v>
      </c>
      <c r="H49" s="4">
        <v>0</v>
      </c>
      <c r="I49" s="4"/>
      <c r="J49" s="39"/>
      <c r="K49" s="32"/>
      <c r="L49" s="32"/>
      <c r="M49" s="32"/>
      <c r="N49" s="4">
        <v>1</v>
      </c>
      <c r="O49" s="4" t="s">
        <v>811</v>
      </c>
      <c r="P49" s="32">
        <f t="shared" si="1"/>
        <v>45161</v>
      </c>
      <c r="Q49" s="32">
        <v>45161</v>
      </c>
      <c r="R49" s="32">
        <v>46233</v>
      </c>
      <c r="S49" s="32" t="s">
        <v>775</v>
      </c>
      <c r="T49" s="4">
        <v>1</v>
      </c>
      <c r="U49" s="4" t="s">
        <v>831</v>
      </c>
      <c r="V49" s="39">
        <f t="shared" si="11"/>
        <v>45802</v>
      </c>
      <c r="W49" s="39">
        <v>45802</v>
      </c>
      <c r="X49" s="32">
        <v>46233</v>
      </c>
      <c r="Y49" s="32" t="s">
        <v>775</v>
      </c>
      <c r="Z49" s="5">
        <v>1</v>
      </c>
      <c r="AA49" s="5" t="s">
        <v>834</v>
      </c>
      <c r="AB49" s="32">
        <f>AC49</f>
        <v>45161</v>
      </c>
      <c r="AC49" s="32">
        <v>45161</v>
      </c>
      <c r="AD49" s="5"/>
      <c r="AE49" s="22">
        <v>44887</v>
      </c>
      <c r="AF49" s="22">
        <f>DATE(YEAR(AE49)+5,MONTH(AE49),DAY(AE49))</f>
        <v>46713</v>
      </c>
      <c r="AG49" s="5"/>
      <c r="AH49" s="36" t="s">
        <v>161</v>
      </c>
      <c r="AI49" s="32">
        <v>46233</v>
      </c>
      <c r="AJ49" s="32" t="s">
        <v>775</v>
      </c>
      <c r="AK49" s="4">
        <v>1</v>
      </c>
      <c r="AL49" s="4" t="s">
        <v>837</v>
      </c>
      <c r="AM49" s="32">
        <v>45161</v>
      </c>
      <c r="AN49" s="32">
        <v>45161</v>
      </c>
      <c r="AO49" s="4"/>
      <c r="AP49" s="22">
        <v>44856</v>
      </c>
      <c r="AQ49" s="34">
        <v>46687</v>
      </c>
      <c r="AR49" s="22" t="s">
        <v>163</v>
      </c>
      <c r="AS49" s="22" t="s">
        <v>162</v>
      </c>
      <c r="AT49" s="38">
        <v>46233</v>
      </c>
      <c r="AU49" s="32" t="s">
        <v>775</v>
      </c>
      <c r="AV49" s="5">
        <v>1</v>
      </c>
      <c r="AW49" s="5" t="s">
        <v>840</v>
      </c>
      <c r="AX49" s="32">
        <v>45161</v>
      </c>
      <c r="AY49" s="32">
        <v>45161</v>
      </c>
      <c r="AZ49" s="5"/>
      <c r="BA49" s="22">
        <v>44703</v>
      </c>
      <c r="BB49" s="34">
        <v>46529</v>
      </c>
      <c r="BC49" s="22" t="s">
        <v>163</v>
      </c>
      <c r="BD49" s="34" t="s">
        <v>1210</v>
      </c>
      <c r="BE49" s="38">
        <v>46233</v>
      </c>
      <c r="BF49" s="32" t="s">
        <v>775</v>
      </c>
      <c r="BG49" s="5">
        <v>1</v>
      </c>
      <c r="BH49" s="5" t="s">
        <v>843</v>
      </c>
      <c r="BI49" s="32">
        <v>45161</v>
      </c>
      <c r="BJ49" s="32">
        <v>45161</v>
      </c>
      <c r="BK49" s="5"/>
      <c r="BL49" s="22">
        <v>44703</v>
      </c>
      <c r="BM49" s="34">
        <v>46529</v>
      </c>
      <c r="BN49" s="22" t="s">
        <v>163</v>
      </c>
      <c r="BO49" s="22" t="s">
        <v>164</v>
      </c>
      <c r="BP49" s="38">
        <v>46233</v>
      </c>
      <c r="BQ49" s="32" t="s">
        <v>775</v>
      </c>
      <c r="BR49" s="5">
        <v>1</v>
      </c>
      <c r="BS49" s="5" t="s">
        <v>846</v>
      </c>
      <c r="BT49" s="32">
        <v>45161</v>
      </c>
      <c r="BU49" s="32">
        <v>45161</v>
      </c>
      <c r="BV49" s="5"/>
      <c r="BW49" s="23">
        <v>44483</v>
      </c>
      <c r="BX49" s="34">
        <v>46674</v>
      </c>
      <c r="BY49" s="22" t="s">
        <v>163</v>
      </c>
      <c r="BZ49" s="23" t="s">
        <v>165</v>
      </c>
      <c r="CA49" s="38">
        <v>46233</v>
      </c>
      <c r="CB49" s="32" t="s">
        <v>775</v>
      </c>
      <c r="CC49" s="31">
        <v>0</v>
      </c>
      <c r="CD49" s="31"/>
      <c r="CE49" s="32"/>
      <c r="CF49" s="32"/>
      <c r="CG49" s="32"/>
      <c r="CH49" s="32"/>
      <c r="CI49" s="31">
        <v>1</v>
      </c>
      <c r="CJ49" s="31" t="s">
        <v>849</v>
      </c>
      <c r="CK49" s="32">
        <v>45577</v>
      </c>
      <c r="CL49" s="32">
        <v>45577</v>
      </c>
      <c r="CM49" s="38">
        <v>46233</v>
      </c>
      <c r="CN49" s="32" t="s">
        <v>775</v>
      </c>
      <c r="CO49" s="4">
        <v>0</v>
      </c>
      <c r="CP49" s="4"/>
      <c r="CQ49" s="39"/>
      <c r="CR49" s="32"/>
      <c r="CS49" s="32"/>
      <c r="CT49" s="32"/>
      <c r="CU49" s="4">
        <v>0</v>
      </c>
      <c r="CV49" s="4" t="s">
        <v>868</v>
      </c>
      <c r="CW49" s="39">
        <f t="shared" ref="CW49:CW50" si="20">CX49</f>
        <v>45818</v>
      </c>
      <c r="CX49" s="39">
        <v>45818</v>
      </c>
      <c r="CY49" s="33">
        <v>45658</v>
      </c>
      <c r="CZ49" s="34">
        <v>46388</v>
      </c>
      <c r="DA49" s="31" t="s">
        <v>166</v>
      </c>
      <c r="DB49" s="31" t="s">
        <v>167</v>
      </c>
      <c r="DC49" s="32">
        <v>46233</v>
      </c>
      <c r="DD49" s="31" t="s">
        <v>775</v>
      </c>
      <c r="DE49" s="4">
        <v>1</v>
      </c>
      <c r="DF49" s="4" t="s">
        <v>870</v>
      </c>
      <c r="DG49" s="40">
        <v>45545</v>
      </c>
      <c r="DH49" s="32">
        <f>DG49</f>
        <v>45545</v>
      </c>
      <c r="DI49" s="32">
        <v>46233</v>
      </c>
      <c r="DJ49" s="32" t="s">
        <v>775</v>
      </c>
      <c r="DK49" s="4">
        <v>0</v>
      </c>
      <c r="DL49" s="4"/>
      <c r="DM49" s="39"/>
      <c r="DN49" s="39"/>
      <c r="DO49" s="39"/>
      <c r="DP49" s="39"/>
      <c r="DQ49" s="31">
        <v>0</v>
      </c>
      <c r="DR49" s="31"/>
      <c r="DS49" s="39"/>
      <c r="DT49" s="32"/>
      <c r="DU49" s="32"/>
      <c r="DV49" s="32"/>
      <c r="DW49" s="4">
        <v>0</v>
      </c>
      <c r="DX49" s="4"/>
      <c r="DY49" s="4"/>
      <c r="DZ49" s="4"/>
      <c r="EA49" s="4"/>
      <c r="EB49" s="4"/>
      <c r="EC49" s="4">
        <v>0</v>
      </c>
      <c r="ED49" s="4"/>
      <c r="EE49" s="4"/>
      <c r="EF49" s="4">
        <v>0</v>
      </c>
      <c r="EG49" s="4"/>
      <c r="EH49" s="4"/>
      <c r="EI49" s="4"/>
      <c r="EJ49" s="26"/>
      <c r="EK49" s="26"/>
      <c r="EL49" s="26"/>
    </row>
    <row r="50" spans="1:142" hidden="1">
      <c r="A50" s="11">
        <v>47</v>
      </c>
      <c r="B50" s="113">
        <v>11830</v>
      </c>
      <c r="C50" s="133" t="s">
        <v>222</v>
      </c>
      <c r="D50" s="5">
        <v>1313088587</v>
      </c>
      <c r="E50" s="3" t="s">
        <v>30</v>
      </c>
      <c r="F50" s="26" t="s">
        <v>214</v>
      </c>
      <c r="G50" s="5" t="s">
        <v>58</v>
      </c>
      <c r="H50" s="4">
        <v>0</v>
      </c>
      <c r="I50" s="4"/>
      <c r="J50" s="39"/>
      <c r="K50" s="32"/>
      <c r="L50" s="32"/>
      <c r="M50" s="32"/>
      <c r="N50" s="4">
        <v>1</v>
      </c>
      <c r="O50" s="4" t="s">
        <v>812</v>
      </c>
      <c r="P50" s="32">
        <f t="shared" si="1"/>
        <v>45161</v>
      </c>
      <c r="Q50" s="32">
        <v>45161</v>
      </c>
      <c r="R50" s="32">
        <v>46233</v>
      </c>
      <c r="S50" s="32" t="s">
        <v>775</v>
      </c>
      <c r="T50" s="4">
        <v>1</v>
      </c>
      <c r="U50" s="4" t="s">
        <v>832</v>
      </c>
      <c r="V50" s="39">
        <f t="shared" si="11"/>
        <v>45802</v>
      </c>
      <c r="W50" s="39">
        <v>45802</v>
      </c>
      <c r="X50" s="32">
        <v>46233</v>
      </c>
      <c r="Y50" s="32" t="s">
        <v>654</v>
      </c>
      <c r="Z50" s="5">
        <v>1</v>
      </c>
      <c r="AA50" s="5" t="s">
        <v>835</v>
      </c>
      <c r="AB50" s="32">
        <f>AC50</f>
        <v>45161</v>
      </c>
      <c r="AC50" s="32">
        <v>45161</v>
      </c>
      <c r="AD50" s="5"/>
      <c r="AE50" s="22">
        <v>44887</v>
      </c>
      <c r="AF50" s="22">
        <f>DATE(YEAR(AE50)+5,MONTH(AE50),DAY(AE50))</f>
        <v>46713</v>
      </c>
      <c r="AG50" s="5"/>
      <c r="AH50" s="36" t="s">
        <v>161</v>
      </c>
      <c r="AI50" s="32">
        <v>46233</v>
      </c>
      <c r="AJ50" s="5" t="s">
        <v>775</v>
      </c>
      <c r="AK50" s="4">
        <v>1</v>
      </c>
      <c r="AL50" s="4" t="s">
        <v>838</v>
      </c>
      <c r="AM50" s="32">
        <v>45161</v>
      </c>
      <c r="AN50" s="32">
        <v>45161</v>
      </c>
      <c r="AO50" s="4"/>
      <c r="AP50" s="22">
        <v>44856</v>
      </c>
      <c r="AQ50" s="34">
        <v>46687</v>
      </c>
      <c r="AR50" s="22" t="s">
        <v>163</v>
      </c>
      <c r="AS50" s="22" t="s">
        <v>162</v>
      </c>
      <c r="AT50" s="38">
        <v>46233</v>
      </c>
      <c r="AU50" s="22" t="s">
        <v>775</v>
      </c>
      <c r="AV50" s="5">
        <v>1</v>
      </c>
      <c r="AW50" s="5" t="s">
        <v>841</v>
      </c>
      <c r="AX50" s="32">
        <v>45161</v>
      </c>
      <c r="AY50" s="32">
        <v>45161</v>
      </c>
      <c r="AZ50" s="5"/>
      <c r="BA50" s="22">
        <v>44703</v>
      </c>
      <c r="BB50" s="34">
        <v>46529</v>
      </c>
      <c r="BC50" s="22" t="s">
        <v>163</v>
      </c>
      <c r="BD50" s="34" t="s">
        <v>1210</v>
      </c>
      <c r="BE50" s="38">
        <v>46233</v>
      </c>
      <c r="BF50" s="32" t="s">
        <v>775</v>
      </c>
      <c r="BG50" s="5">
        <v>1</v>
      </c>
      <c r="BH50" s="5" t="s">
        <v>844</v>
      </c>
      <c r="BI50" s="32">
        <v>45161</v>
      </c>
      <c r="BJ50" s="32">
        <v>45161</v>
      </c>
      <c r="BK50" s="5"/>
      <c r="BL50" s="22">
        <v>44703</v>
      </c>
      <c r="BM50" s="34">
        <v>46529</v>
      </c>
      <c r="BN50" s="22" t="s">
        <v>163</v>
      </c>
      <c r="BO50" s="22" t="s">
        <v>164</v>
      </c>
      <c r="BP50" s="38">
        <v>46233</v>
      </c>
      <c r="BQ50" s="22" t="s">
        <v>775</v>
      </c>
      <c r="BR50" s="5">
        <v>1</v>
      </c>
      <c r="BS50" s="5" t="s">
        <v>847</v>
      </c>
      <c r="BT50" s="32">
        <v>45161</v>
      </c>
      <c r="BU50" s="32">
        <v>45161</v>
      </c>
      <c r="BV50" s="5"/>
      <c r="BW50" s="23">
        <v>44483</v>
      </c>
      <c r="BX50" s="34">
        <v>46674</v>
      </c>
      <c r="BY50" s="22" t="s">
        <v>163</v>
      </c>
      <c r="BZ50" s="23" t="s">
        <v>165</v>
      </c>
      <c r="CA50" s="38">
        <v>46233</v>
      </c>
      <c r="CB50" s="22" t="s">
        <v>775</v>
      </c>
      <c r="CC50" s="31">
        <v>0</v>
      </c>
      <c r="CD50" s="31"/>
      <c r="CE50" s="32"/>
      <c r="CF50" s="32"/>
      <c r="CG50" s="32"/>
      <c r="CH50" s="32"/>
      <c r="CI50" s="31">
        <v>1</v>
      </c>
      <c r="CJ50" s="31" t="s">
        <v>850</v>
      </c>
      <c r="CK50" s="32">
        <v>45577</v>
      </c>
      <c r="CL50" s="32">
        <v>45577</v>
      </c>
      <c r="CM50" s="38">
        <v>46233</v>
      </c>
      <c r="CN50" s="32" t="s">
        <v>654</v>
      </c>
      <c r="CO50" s="4">
        <v>0</v>
      </c>
      <c r="CP50" s="4"/>
      <c r="CQ50" s="39"/>
      <c r="CR50" s="32"/>
      <c r="CS50" s="32"/>
      <c r="CT50" s="32"/>
      <c r="CU50" s="4">
        <v>0</v>
      </c>
      <c r="CV50" s="4" t="s">
        <v>868</v>
      </c>
      <c r="CW50" s="39">
        <f t="shared" si="20"/>
        <v>45818</v>
      </c>
      <c r="CX50" s="39">
        <v>45818</v>
      </c>
      <c r="CY50" s="33">
        <v>45658</v>
      </c>
      <c r="CZ50" s="34">
        <v>46388</v>
      </c>
      <c r="DA50" s="31" t="s">
        <v>166</v>
      </c>
      <c r="DB50" s="31" t="s">
        <v>167</v>
      </c>
      <c r="DC50" s="32">
        <v>46233</v>
      </c>
      <c r="DD50" s="31" t="s">
        <v>775</v>
      </c>
      <c r="DE50" s="4">
        <v>0</v>
      </c>
      <c r="DF50" s="4"/>
      <c r="DG50" s="4"/>
      <c r="DH50" s="4"/>
      <c r="DI50" s="4"/>
      <c r="DJ50" s="4"/>
      <c r="DK50" s="4">
        <v>0</v>
      </c>
      <c r="DL50" s="4"/>
      <c r="DM50" s="4"/>
      <c r="DN50" s="4"/>
      <c r="DO50" s="4"/>
      <c r="DP50" s="4"/>
      <c r="DQ50" s="31">
        <v>0</v>
      </c>
      <c r="DR50" s="31"/>
      <c r="DS50" s="39"/>
      <c r="DT50" s="32"/>
      <c r="DU50" s="32"/>
      <c r="DV50" s="32"/>
      <c r="DW50" s="4">
        <v>0</v>
      </c>
      <c r="DX50" s="4"/>
      <c r="DY50" s="4"/>
      <c r="DZ50" s="4"/>
      <c r="EA50" s="4"/>
      <c r="EB50" s="4"/>
      <c r="EC50" s="4">
        <v>0</v>
      </c>
      <c r="ED50" s="4"/>
      <c r="EE50" s="4"/>
      <c r="EF50" s="4">
        <v>0</v>
      </c>
      <c r="EG50" s="4"/>
      <c r="EH50" s="43"/>
      <c r="EI50" s="43"/>
      <c r="EJ50" s="26"/>
      <c r="EK50" s="26"/>
      <c r="EL50" s="26"/>
    </row>
    <row r="51" spans="1:142" hidden="1">
      <c r="A51" s="11">
        <v>48</v>
      </c>
      <c r="B51" s="112">
        <v>11869</v>
      </c>
      <c r="C51" s="54" t="s">
        <v>221</v>
      </c>
      <c r="D51" s="4">
        <v>1313088376</v>
      </c>
      <c r="E51" s="3" t="s">
        <v>39</v>
      </c>
      <c r="F51" s="26" t="s">
        <v>214</v>
      </c>
      <c r="G51" s="5" t="s">
        <v>58</v>
      </c>
      <c r="H51" s="4">
        <v>0</v>
      </c>
      <c r="I51" s="4"/>
      <c r="J51" s="39"/>
      <c r="K51" s="32"/>
      <c r="L51" s="32"/>
      <c r="M51" s="32"/>
      <c r="N51" s="4">
        <v>1</v>
      </c>
      <c r="O51" s="4" t="s">
        <v>813</v>
      </c>
      <c r="P51" s="32">
        <f t="shared" si="1"/>
        <v>45161</v>
      </c>
      <c r="Q51" s="32">
        <v>45161</v>
      </c>
      <c r="R51" s="32">
        <v>46233</v>
      </c>
      <c r="S51" s="32" t="s">
        <v>405</v>
      </c>
      <c r="T51" s="4">
        <v>1</v>
      </c>
      <c r="U51" s="4" t="s">
        <v>833</v>
      </c>
      <c r="V51" s="39">
        <f t="shared" si="11"/>
        <v>45802</v>
      </c>
      <c r="W51" s="39">
        <v>45802</v>
      </c>
      <c r="X51" s="32">
        <v>46233</v>
      </c>
      <c r="Y51" s="32" t="s">
        <v>775</v>
      </c>
      <c r="Z51" s="5">
        <v>1</v>
      </c>
      <c r="AA51" s="5" t="s">
        <v>836</v>
      </c>
      <c r="AB51" s="32">
        <f>AC51</f>
        <v>45161</v>
      </c>
      <c r="AC51" s="32">
        <v>45161</v>
      </c>
      <c r="AD51" s="5"/>
      <c r="AE51" s="22">
        <v>44887</v>
      </c>
      <c r="AF51" s="22">
        <f>DATE(YEAR(AE51)+5,MONTH(AE51),DAY(AE51))</f>
        <v>46713</v>
      </c>
      <c r="AG51" s="5"/>
      <c r="AH51" s="36" t="s">
        <v>161</v>
      </c>
      <c r="AI51" s="32">
        <v>46233</v>
      </c>
      <c r="AJ51" s="32" t="s">
        <v>775</v>
      </c>
      <c r="AK51" s="4">
        <v>1</v>
      </c>
      <c r="AL51" s="4" t="s">
        <v>839</v>
      </c>
      <c r="AM51" s="32">
        <v>45161</v>
      </c>
      <c r="AN51" s="32">
        <v>45161</v>
      </c>
      <c r="AO51" s="4"/>
      <c r="AP51" s="22">
        <v>44856</v>
      </c>
      <c r="AQ51" s="34">
        <v>46687</v>
      </c>
      <c r="AR51" s="22" t="s">
        <v>163</v>
      </c>
      <c r="AS51" s="22" t="s">
        <v>162</v>
      </c>
      <c r="AT51" s="38">
        <v>46233</v>
      </c>
      <c r="AU51" s="32" t="s">
        <v>775</v>
      </c>
      <c r="AV51" s="5">
        <v>1</v>
      </c>
      <c r="AW51" s="5" t="s">
        <v>842</v>
      </c>
      <c r="AX51" s="32">
        <v>45161</v>
      </c>
      <c r="AY51" s="32">
        <v>45161</v>
      </c>
      <c r="AZ51" s="5"/>
      <c r="BA51" s="22">
        <v>44703</v>
      </c>
      <c r="BB51" s="34">
        <v>46529</v>
      </c>
      <c r="BC51" s="22" t="s">
        <v>163</v>
      </c>
      <c r="BD51" s="34" t="s">
        <v>1210</v>
      </c>
      <c r="BE51" s="38">
        <v>46233</v>
      </c>
      <c r="BF51" s="32" t="s">
        <v>775</v>
      </c>
      <c r="BG51" s="5">
        <v>1</v>
      </c>
      <c r="BH51" s="5" t="s">
        <v>845</v>
      </c>
      <c r="BI51" s="32">
        <v>45161</v>
      </c>
      <c r="BJ51" s="32">
        <v>45161</v>
      </c>
      <c r="BK51" s="5"/>
      <c r="BL51" s="22">
        <v>44703</v>
      </c>
      <c r="BM51" s="34">
        <v>46529</v>
      </c>
      <c r="BN51" s="22" t="s">
        <v>163</v>
      </c>
      <c r="BO51" s="22" t="s">
        <v>164</v>
      </c>
      <c r="BP51" s="38">
        <v>46233</v>
      </c>
      <c r="BQ51" s="22" t="s">
        <v>775</v>
      </c>
      <c r="BR51" s="5">
        <v>1</v>
      </c>
      <c r="BS51" s="5" t="s">
        <v>848</v>
      </c>
      <c r="BT51" s="32">
        <v>45161</v>
      </c>
      <c r="BU51" s="32">
        <v>45161</v>
      </c>
      <c r="BV51" s="5"/>
      <c r="BW51" s="23">
        <v>44483</v>
      </c>
      <c r="BX51" s="34">
        <v>46674</v>
      </c>
      <c r="BY51" s="22" t="s">
        <v>163</v>
      </c>
      <c r="BZ51" s="23" t="s">
        <v>165</v>
      </c>
      <c r="CA51" s="38">
        <v>46233</v>
      </c>
      <c r="CB51" s="22" t="s">
        <v>775</v>
      </c>
      <c r="CC51" s="31">
        <v>0</v>
      </c>
      <c r="CD51" s="31"/>
      <c r="CE51" s="32"/>
      <c r="CF51" s="32"/>
      <c r="CG51" s="32"/>
      <c r="CH51" s="22"/>
      <c r="CI51" s="31">
        <v>1</v>
      </c>
      <c r="CJ51" s="31" t="s">
        <v>851</v>
      </c>
      <c r="CK51" s="32">
        <v>45577</v>
      </c>
      <c r="CL51" s="32">
        <v>45577</v>
      </c>
      <c r="CM51" s="38">
        <v>46233</v>
      </c>
      <c r="CN51" s="32" t="s">
        <v>654</v>
      </c>
      <c r="CO51" s="4">
        <v>0</v>
      </c>
      <c r="CP51" s="4"/>
      <c r="CQ51" s="39"/>
      <c r="CR51" s="32"/>
      <c r="CS51" s="32"/>
      <c r="CT51" s="32"/>
      <c r="CU51" s="4">
        <v>1</v>
      </c>
      <c r="CV51" s="4" t="s">
        <v>868</v>
      </c>
      <c r="CW51" s="39">
        <f>CX51</f>
        <v>45818</v>
      </c>
      <c r="CX51" s="39">
        <v>45818</v>
      </c>
      <c r="CY51" s="33">
        <v>45658</v>
      </c>
      <c r="CZ51" s="34">
        <v>46388</v>
      </c>
      <c r="DA51" s="31" t="s">
        <v>166</v>
      </c>
      <c r="DB51" s="31" t="s">
        <v>167</v>
      </c>
      <c r="DC51" s="32">
        <v>46233</v>
      </c>
      <c r="DD51" s="31" t="s">
        <v>775</v>
      </c>
      <c r="DE51" s="4">
        <v>0</v>
      </c>
      <c r="DF51" s="4"/>
      <c r="DG51" s="39"/>
      <c r="DH51" s="32"/>
      <c r="DI51" s="32"/>
      <c r="DJ51" s="32"/>
      <c r="DK51" s="4">
        <v>0</v>
      </c>
      <c r="DL51" s="4"/>
      <c r="DM51" s="4"/>
      <c r="DN51" s="4"/>
      <c r="DO51" s="4"/>
      <c r="DP51" s="4"/>
      <c r="DQ51" s="31">
        <v>0</v>
      </c>
      <c r="DR51" s="31"/>
      <c r="DS51" s="39"/>
      <c r="DT51" s="32"/>
      <c r="DU51" s="32"/>
      <c r="DV51" s="32"/>
      <c r="DW51" s="4">
        <v>0</v>
      </c>
      <c r="DX51" s="4"/>
      <c r="DY51" s="39"/>
      <c r="DZ51" s="32"/>
      <c r="EA51" s="32"/>
      <c r="EB51" s="32"/>
      <c r="EC51" s="4">
        <v>0</v>
      </c>
      <c r="ED51" s="4"/>
      <c r="EE51" s="4"/>
      <c r="EF51" s="4">
        <v>0</v>
      </c>
      <c r="EG51" s="4"/>
      <c r="EH51" s="4"/>
      <c r="EI51" s="4"/>
      <c r="EJ51" s="26"/>
      <c r="EK51" s="26"/>
      <c r="EL51" s="26"/>
    </row>
    <row r="52" spans="1:142" hidden="1">
      <c r="A52" s="11">
        <v>49</v>
      </c>
      <c r="B52" s="104">
        <v>6424</v>
      </c>
      <c r="C52" s="4" t="s">
        <v>76</v>
      </c>
      <c r="D52" s="4">
        <v>1313088165</v>
      </c>
      <c r="E52" s="3" t="s">
        <v>41</v>
      </c>
      <c r="F52" s="26" t="s">
        <v>171</v>
      </c>
      <c r="G52" s="5" t="s">
        <v>77</v>
      </c>
      <c r="H52" s="4">
        <v>1</v>
      </c>
      <c r="I52" s="4" t="s">
        <v>886</v>
      </c>
      <c r="J52" s="38">
        <f t="shared" ref="J52:J56" si="21">K52</f>
        <v>45818</v>
      </c>
      <c r="K52" s="32">
        <v>45818</v>
      </c>
      <c r="L52" s="32">
        <v>46200</v>
      </c>
      <c r="M52" s="32" t="s">
        <v>405</v>
      </c>
      <c r="N52" s="4">
        <v>1</v>
      </c>
      <c r="O52" s="4" t="s">
        <v>906</v>
      </c>
      <c r="P52" s="32">
        <f t="shared" si="1"/>
        <v>45927</v>
      </c>
      <c r="Q52" s="39">
        <v>45927</v>
      </c>
      <c r="R52" s="32">
        <v>46200</v>
      </c>
      <c r="S52" s="4" t="s">
        <v>654</v>
      </c>
      <c r="T52" s="4">
        <v>1</v>
      </c>
      <c r="U52" s="4" t="s">
        <v>926</v>
      </c>
      <c r="V52" s="32">
        <v>45818</v>
      </c>
      <c r="W52" s="32">
        <v>45818</v>
      </c>
      <c r="X52" s="32">
        <v>46200</v>
      </c>
      <c r="Y52" s="32" t="s">
        <v>405</v>
      </c>
      <c r="Z52" s="4">
        <v>0</v>
      </c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>
        <v>0</v>
      </c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>
        <v>0</v>
      </c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>
        <v>0</v>
      </c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>
        <v>0</v>
      </c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>
        <v>0</v>
      </c>
      <c r="CJ52" s="4"/>
      <c r="CK52" s="4"/>
      <c r="CL52" s="4"/>
      <c r="CM52" s="4"/>
      <c r="CN52" s="4"/>
      <c r="CO52" s="104">
        <v>1</v>
      </c>
      <c r="CP52" s="4" t="s">
        <v>970</v>
      </c>
      <c r="CQ52" s="39">
        <v>45732</v>
      </c>
      <c r="CR52" s="39">
        <v>45732</v>
      </c>
      <c r="CS52" s="32">
        <v>46200</v>
      </c>
      <c r="CT52" s="5" t="s">
        <v>654</v>
      </c>
      <c r="CU52" s="104">
        <v>1</v>
      </c>
      <c r="CV52" s="4" t="s">
        <v>978</v>
      </c>
      <c r="CW52" s="39">
        <f t="shared" ref="CW52:CW78" si="22">CX52</f>
        <v>45818</v>
      </c>
      <c r="CX52" s="39">
        <v>45818</v>
      </c>
      <c r="CY52" s="33">
        <v>45658</v>
      </c>
      <c r="CZ52" s="34">
        <v>46388</v>
      </c>
      <c r="DA52" s="31" t="s">
        <v>166</v>
      </c>
      <c r="DB52" s="31" t="s">
        <v>167</v>
      </c>
      <c r="DC52" s="32">
        <v>46200</v>
      </c>
      <c r="DD52" s="5" t="s">
        <v>654</v>
      </c>
      <c r="DE52" s="4">
        <v>1</v>
      </c>
      <c r="DF52" s="4" t="s">
        <v>983</v>
      </c>
      <c r="DG52" s="39">
        <v>45732</v>
      </c>
      <c r="DH52" s="32">
        <f t="shared" ref="DH52:DH53" si="23">DG52</f>
        <v>45732</v>
      </c>
      <c r="DI52" s="103">
        <v>46052</v>
      </c>
      <c r="DJ52" s="5" t="s">
        <v>654</v>
      </c>
      <c r="DK52" s="4">
        <v>0</v>
      </c>
      <c r="DL52" s="4"/>
      <c r="DM52" s="4"/>
      <c r="DN52" s="4"/>
      <c r="DO52" s="4"/>
      <c r="DP52" s="4"/>
      <c r="DQ52" s="31">
        <v>0</v>
      </c>
      <c r="DR52" s="31"/>
      <c r="DS52" s="39"/>
      <c r="DT52" s="32"/>
      <c r="DU52" s="32"/>
      <c r="DV52" s="32"/>
      <c r="DW52" s="4">
        <v>1</v>
      </c>
      <c r="DX52" s="4" t="s">
        <v>999</v>
      </c>
      <c r="DY52" s="39">
        <v>45732</v>
      </c>
      <c r="DZ52" s="32">
        <f>DY52</f>
        <v>45732</v>
      </c>
      <c r="EA52" s="103">
        <v>46052</v>
      </c>
      <c r="EB52" s="5" t="s">
        <v>654</v>
      </c>
      <c r="EC52" s="4">
        <v>0</v>
      </c>
      <c r="ED52" s="4"/>
      <c r="EE52" s="4"/>
      <c r="EF52" s="4">
        <v>0</v>
      </c>
      <c r="EG52" s="4"/>
      <c r="EH52" s="4"/>
      <c r="EI52" s="4"/>
      <c r="EJ52" s="26"/>
      <c r="EK52" s="26"/>
      <c r="EL52" s="26"/>
    </row>
    <row r="53" spans="1:142" hidden="1">
      <c r="A53" s="11">
        <v>50</v>
      </c>
      <c r="B53" s="104">
        <v>11892</v>
      </c>
      <c r="C53" s="4" t="s">
        <v>345</v>
      </c>
      <c r="D53" s="92">
        <v>1737377769</v>
      </c>
      <c r="E53" s="3" t="s">
        <v>35</v>
      </c>
      <c r="F53" s="26" t="s">
        <v>171</v>
      </c>
      <c r="G53" s="5" t="s">
        <v>77</v>
      </c>
      <c r="H53" s="4">
        <v>1</v>
      </c>
      <c r="I53" s="4" t="s">
        <v>887</v>
      </c>
      <c r="J53" s="38">
        <f t="shared" si="21"/>
        <v>45818</v>
      </c>
      <c r="K53" s="32">
        <v>45818</v>
      </c>
      <c r="L53" s="32">
        <v>46200</v>
      </c>
      <c r="M53" s="4" t="s">
        <v>654</v>
      </c>
      <c r="N53" s="4">
        <v>1</v>
      </c>
      <c r="O53" s="4" t="s">
        <v>908</v>
      </c>
      <c r="P53" s="32">
        <f t="shared" si="1"/>
        <v>45927</v>
      </c>
      <c r="Q53" s="39">
        <v>45927</v>
      </c>
      <c r="R53" s="32">
        <v>46200</v>
      </c>
      <c r="S53" s="4" t="s">
        <v>654</v>
      </c>
      <c r="T53" s="4">
        <v>1</v>
      </c>
      <c r="U53" s="4" t="s">
        <v>927</v>
      </c>
      <c r="V53" s="32">
        <v>45818</v>
      </c>
      <c r="W53" s="32">
        <v>45818</v>
      </c>
      <c r="X53" s="32">
        <v>46200</v>
      </c>
      <c r="Y53" s="4" t="s">
        <v>167</v>
      </c>
      <c r="Z53" s="4">
        <v>0</v>
      </c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>
        <v>0</v>
      </c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>
        <v>0</v>
      </c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>
        <v>0</v>
      </c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>
        <v>0</v>
      </c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>
        <v>0</v>
      </c>
      <c r="CJ53" s="4"/>
      <c r="CK53" s="4"/>
      <c r="CL53" s="4"/>
      <c r="CM53" s="4"/>
      <c r="CN53" s="4"/>
      <c r="CO53" s="104">
        <v>0</v>
      </c>
      <c r="CP53" s="4"/>
      <c r="CQ53" s="39"/>
      <c r="CR53" s="39"/>
      <c r="CS53" s="39"/>
      <c r="CT53" s="39"/>
      <c r="CU53" s="104">
        <v>0</v>
      </c>
      <c r="CV53" s="4"/>
      <c r="CW53" s="39"/>
      <c r="CX53" s="39"/>
      <c r="CY53" s="33"/>
      <c r="CZ53" s="34"/>
      <c r="DA53" s="31"/>
      <c r="DB53" s="31"/>
      <c r="DC53" s="31"/>
      <c r="DD53" s="31"/>
      <c r="DE53" s="4">
        <v>1</v>
      </c>
      <c r="DF53" s="4" t="s">
        <v>984</v>
      </c>
      <c r="DG53" s="39">
        <v>45732</v>
      </c>
      <c r="DH53" s="32">
        <f t="shared" si="23"/>
        <v>45732</v>
      </c>
      <c r="DI53" s="103">
        <v>46052</v>
      </c>
      <c r="DJ53" s="5" t="s">
        <v>654</v>
      </c>
      <c r="DK53" s="4">
        <v>0</v>
      </c>
      <c r="DL53" s="4"/>
      <c r="DM53" s="4"/>
      <c r="DN53" s="4"/>
      <c r="DO53" s="4"/>
      <c r="DP53" s="4"/>
      <c r="DQ53" s="31">
        <v>1</v>
      </c>
      <c r="DR53" s="31" t="s">
        <v>987</v>
      </c>
      <c r="DS53" s="39">
        <v>45812</v>
      </c>
      <c r="DT53" s="32">
        <f t="shared" si="4"/>
        <v>45812</v>
      </c>
      <c r="DU53" s="103">
        <v>46052</v>
      </c>
      <c r="DV53" s="5" t="s">
        <v>654</v>
      </c>
      <c r="DW53" s="4">
        <v>0</v>
      </c>
      <c r="DX53" s="4"/>
      <c r="DY53" s="4"/>
      <c r="DZ53" s="4"/>
      <c r="EA53" s="4"/>
      <c r="EB53" s="4"/>
      <c r="EC53" s="4">
        <v>0</v>
      </c>
      <c r="ED53" s="4"/>
      <c r="EE53" s="4"/>
      <c r="EF53" s="4">
        <v>0</v>
      </c>
      <c r="EG53" s="4"/>
      <c r="EH53" s="4"/>
      <c r="EI53" s="4"/>
      <c r="EJ53" s="26"/>
      <c r="EK53" s="26"/>
      <c r="EL53" s="26"/>
    </row>
    <row r="54" spans="1:142" hidden="1">
      <c r="A54" s="11">
        <v>51</v>
      </c>
      <c r="B54" s="104">
        <v>8145</v>
      </c>
      <c r="C54" s="4" t="s">
        <v>78</v>
      </c>
      <c r="D54" s="4">
        <v>1313088153</v>
      </c>
      <c r="E54" s="3" t="s">
        <v>41</v>
      </c>
      <c r="F54" s="26" t="s">
        <v>171</v>
      </c>
      <c r="G54" s="5" t="s">
        <v>77</v>
      </c>
      <c r="H54" s="4">
        <v>1</v>
      </c>
      <c r="I54" s="4" t="s">
        <v>888</v>
      </c>
      <c r="J54" s="38">
        <f t="shared" si="21"/>
        <v>45818</v>
      </c>
      <c r="K54" s="32">
        <v>45818</v>
      </c>
      <c r="L54" s="32">
        <v>46200</v>
      </c>
      <c r="M54" s="4" t="s">
        <v>654</v>
      </c>
      <c r="N54" s="4">
        <v>1</v>
      </c>
      <c r="O54" s="4" t="s">
        <v>909</v>
      </c>
      <c r="P54" s="32">
        <f t="shared" si="1"/>
        <v>45927</v>
      </c>
      <c r="Q54" s="39">
        <v>45927</v>
      </c>
      <c r="R54" s="32">
        <v>46200</v>
      </c>
      <c r="S54" s="4" t="s">
        <v>654</v>
      </c>
      <c r="T54" s="4">
        <v>1</v>
      </c>
      <c r="U54" s="4" t="s">
        <v>928</v>
      </c>
      <c r="V54" s="32">
        <v>45818</v>
      </c>
      <c r="W54" s="32">
        <v>45818</v>
      </c>
      <c r="X54" s="32">
        <v>46200</v>
      </c>
      <c r="Y54" s="4" t="s">
        <v>654</v>
      </c>
      <c r="Z54" s="4">
        <v>0</v>
      </c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>
        <v>0</v>
      </c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>
        <v>0</v>
      </c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>
        <v>0</v>
      </c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>
        <v>0</v>
      </c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>
        <v>0</v>
      </c>
      <c r="CJ54" s="4"/>
      <c r="CK54" s="4"/>
      <c r="CL54" s="4"/>
      <c r="CM54" s="4"/>
      <c r="CN54" s="4"/>
      <c r="CO54" s="104">
        <v>1</v>
      </c>
      <c r="CP54" s="4" t="s">
        <v>971</v>
      </c>
      <c r="CQ54" s="39">
        <v>45732</v>
      </c>
      <c r="CR54" s="39">
        <v>45732</v>
      </c>
      <c r="CS54" s="32">
        <v>46200</v>
      </c>
      <c r="CT54" s="5" t="s">
        <v>654</v>
      </c>
      <c r="CU54" s="104">
        <v>1</v>
      </c>
      <c r="CV54" s="4" t="s">
        <v>979</v>
      </c>
      <c r="CW54" s="39">
        <f t="shared" si="22"/>
        <v>45818</v>
      </c>
      <c r="CX54" s="39">
        <v>45818</v>
      </c>
      <c r="CY54" s="33">
        <v>45658</v>
      </c>
      <c r="CZ54" s="34">
        <v>46388</v>
      </c>
      <c r="DA54" s="31" t="s">
        <v>166</v>
      </c>
      <c r="DB54" s="31" t="s">
        <v>167</v>
      </c>
      <c r="DC54" s="32">
        <v>46200</v>
      </c>
      <c r="DD54" s="5" t="s">
        <v>654</v>
      </c>
      <c r="DE54" s="4">
        <v>0</v>
      </c>
      <c r="DF54" s="4"/>
      <c r="DG54" s="4"/>
      <c r="DH54" s="4"/>
      <c r="DI54" s="4"/>
      <c r="DJ54" s="4"/>
      <c r="DK54" s="4">
        <v>0</v>
      </c>
      <c r="DL54" s="4"/>
      <c r="DM54" s="4"/>
      <c r="DN54" s="4"/>
      <c r="DO54" s="4"/>
      <c r="DP54" s="4"/>
      <c r="DQ54" s="31">
        <v>0</v>
      </c>
      <c r="DR54" s="31"/>
      <c r="DS54" s="39"/>
      <c r="DT54" s="32"/>
      <c r="DU54" s="32"/>
      <c r="DV54" s="32"/>
      <c r="DW54" s="4">
        <v>0</v>
      </c>
      <c r="DX54" s="4"/>
      <c r="DY54" s="39"/>
      <c r="DZ54" s="32"/>
      <c r="EA54" s="32"/>
      <c r="EB54" s="32"/>
      <c r="EC54" s="4">
        <v>0</v>
      </c>
      <c r="ED54" s="4"/>
      <c r="EE54" s="4"/>
      <c r="EF54" s="4">
        <v>0</v>
      </c>
      <c r="EG54" s="4"/>
      <c r="EH54" s="4"/>
      <c r="EI54" s="4"/>
      <c r="EJ54" s="26"/>
      <c r="EK54" s="26"/>
      <c r="EL54" s="26"/>
    </row>
    <row r="55" spans="1:142" hidden="1">
      <c r="A55" s="11">
        <v>52</v>
      </c>
      <c r="B55" s="104">
        <v>10167</v>
      </c>
      <c r="C55" s="4" t="s">
        <v>79</v>
      </c>
      <c r="D55" s="4">
        <v>1313088229</v>
      </c>
      <c r="E55" s="4" t="s">
        <v>42</v>
      </c>
      <c r="F55" s="26" t="s">
        <v>171</v>
      </c>
      <c r="G55" s="5" t="s">
        <v>77</v>
      </c>
      <c r="H55" s="4">
        <v>1</v>
      </c>
      <c r="I55" s="4" t="s">
        <v>889</v>
      </c>
      <c r="J55" s="38">
        <f t="shared" si="21"/>
        <v>45818</v>
      </c>
      <c r="K55" s="32">
        <v>45818</v>
      </c>
      <c r="L55" s="32">
        <v>46200</v>
      </c>
      <c r="M55" s="4" t="s">
        <v>654</v>
      </c>
      <c r="N55" s="4">
        <v>1</v>
      </c>
      <c r="O55" s="4" t="s">
        <v>910</v>
      </c>
      <c r="P55" s="32">
        <f t="shared" si="1"/>
        <v>45927</v>
      </c>
      <c r="Q55" s="39">
        <v>45927</v>
      </c>
      <c r="R55" s="32">
        <v>46200</v>
      </c>
      <c r="S55" s="4" t="s">
        <v>654</v>
      </c>
      <c r="T55" s="4">
        <v>1</v>
      </c>
      <c r="U55" s="4" t="s">
        <v>929</v>
      </c>
      <c r="V55" s="32">
        <v>45818</v>
      </c>
      <c r="W55" s="32">
        <v>45818</v>
      </c>
      <c r="X55" s="32">
        <v>46200</v>
      </c>
      <c r="Y55" s="4" t="s">
        <v>654</v>
      </c>
      <c r="Z55" s="4">
        <v>0</v>
      </c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>
        <v>0</v>
      </c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>
        <v>0</v>
      </c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>
        <v>0</v>
      </c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>
        <v>0</v>
      </c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>
        <v>0</v>
      </c>
      <c r="CJ55" s="4"/>
      <c r="CK55" s="4"/>
      <c r="CL55" s="4"/>
      <c r="CM55" s="4"/>
      <c r="CN55" s="4"/>
      <c r="CO55" s="104">
        <v>1</v>
      </c>
      <c r="CP55" s="4" t="s">
        <v>972</v>
      </c>
      <c r="CQ55" s="39">
        <v>45732</v>
      </c>
      <c r="CR55" s="39">
        <v>45732</v>
      </c>
      <c r="CS55" s="32">
        <v>46200</v>
      </c>
      <c r="CT55" s="5" t="s">
        <v>654</v>
      </c>
      <c r="CU55" s="104">
        <v>1</v>
      </c>
      <c r="CV55" s="4" t="s">
        <v>980</v>
      </c>
      <c r="CW55" s="39">
        <f t="shared" si="22"/>
        <v>45818</v>
      </c>
      <c r="CX55" s="39">
        <v>45818</v>
      </c>
      <c r="CY55" s="33">
        <v>45658</v>
      </c>
      <c r="CZ55" s="34">
        <v>46388</v>
      </c>
      <c r="DA55" s="31" t="s">
        <v>166</v>
      </c>
      <c r="DB55" s="31" t="s">
        <v>167</v>
      </c>
      <c r="DC55" s="32">
        <v>46200</v>
      </c>
      <c r="DD55" s="5" t="s">
        <v>654</v>
      </c>
      <c r="DE55" s="4">
        <v>0</v>
      </c>
      <c r="DF55" s="4"/>
      <c r="DG55" s="4"/>
      <c r="DH55" s="4"/>
      <c r="DI55" s="4"/>
      <c r="DJ55" s="4"/>
      <c r="DK55" s="4">
        <v>0</v>
      </c>
      <c r="DL55" s="4"/>
      <c r="DM55" s="4"/>
      <c r="DN55" s="4"/>
      <c r="DO55" s="4"/>
      <c r="DP55" s="4"/>
      <c r="DQ55" s="31">
        <v>1</v>
      </c>
      <c r="DR55" s="31" t="s">
        <v>988</v>
      </c>
      <c r="DS55" s="39">
        <v>45812</v>
      </c>
      <c r="DT55" s="32">
        <f t="shared" si="4"/>
        <v>45812</v>
      </c>
      <c r="DU55" s="103">
        <v>46052</v>
      </c>
      <c r="DV55" s="5" t="s">
        <v>654</v>
      </c>
      <c r="DW55" s="4">
        <v>0</v>
      </c>
      <c r="DX55" s="4"/>
      <c r="DY55" s="4"/>
      <c r="DZ55" s="4"/>
      <c r="EA55" s="4"/>
      <c r="EB55" s="4"/>
      <c r="EC55" s="4">
        <v>0</v>
      </c>
      <c r="ED55" s="4"/>
      <c r="EE55" s="4"/>
      <c r="EF55" s="4">
        <v>0</v>
      </c>
      <c r="EG55" s="4"/>
      <c r="EH55" s="4"/>
      <c r="EI55" s="4"/>
      <c r="EJ55" s="26"/>
      <c r="EK55" s="26"/>
      <c r="EL55" s="26"/>
    </row>
    <row r="56" spans="1:142" hidden="1">
      <c r="A56" s="11">
        <v>53</v>
      </c>
      <c r="B56" s="110">
        <v>10514</v>
      </c>
      <c r="C56" s="5" t="s">
        <v>80</v>
      </c>
      <c r="D56" s="4">
        <v>1313088504</v>
      </c>
      <c r="E56" s="3" t="s">
        <v>81</v>
      </c>
      <c r="F56" s="26" t="s">
        <v>171</v>
      </c>
      <c r="G56" s="5" t="s">
        <v>77</v>
      </c>
      <c r="H56" s="4">
        <v>1</v>
      </c>
      <c r="I56" s="4" t="s">
        <v>890</v>
      </c>
      <c r="J56" s="38">
        <f t="shared" si="21"/>
        <v>45498</v>
      </c>
      <c r="K56" s="38">
        <v>45498</v>
      </c>
      <c r="L56" s="32">
        <v>46200</v>
      </c>
      <c r="M56" s="4" t="s">
        <v>654</v>
      </c>
      <c r="N56" s="4">
        <v>1</v>
      </c>
      <c r="O56" s="4" t="s">
        <v>911</v>
      </c>
      <c r="P56" s="32">
        <f t="shared" si="1"/>
        <v>45927</v>
      </c>
      <c r="Q56" s="39">
        <v>45927</v>
      </c>
      <c r="R56" s="32">
        <v>46200</v>
      </c>
      <c r="S56" s="4" t="s">
        <v>654</v>
      </c>
      <c r="T56" s="4">
        <v>1</v>
      </c>
      <c r="U56" s="4" t="s">
        <v>930</v>
      </c>
      <c r="V56" s="32">
        <v>45818</v>
      </c>
      <c r="W56" s="32">
        <v>45818</v>
      </c>
      <c r="X56" s="32">
        <v>46200</v>
      </c>
      <c r="Y56" s="4" t="s">
        <v>654</v>
      </c>
      <c r="Z56" s="4">
        <v>1</v>
      </c>
      <c r="AA56" s="4" t="s">
        <v>946</v>
      </c>
      <c r="AB56" s="39">
        <v>45328</v>
      </c>
      <c r="AC56" s="39">
        <v>45328</v>
      </c>
      <c r="AD56" s="4"/>
      <c r="AE56" s="22">
        <v>44887</v>
      </c>
      <c r="AF56" s="22">
        <f>DATE(YEAR(AE56)+5,MONTH(AE56),DAY(AE56))</f>
        <v>46713</v>
      </c>
      <c r="AG56" s="5"/>
      <c r="AH56" s="36" t="s">
        <v>161</v>
      </c>
      <c r="AI56" s="32">
        <v>46200</v>
      </c>
      <c r="AJ56" s="5" t="s">
        <v>654</v>
      </c>
      <c r="AK56" s="4">
        <v>1</v>
      </c>
      <c r="AL56" s="4" t="s">
        <v>950</v>
      </c>
      <c r="AM56" s="39">
        <v>45328</v>
      </c>
      <c r="AN56" s="39">
        <v>45328</v>
      </c>
      <c r="AO56" s="4"/>
      <c r="AP56" s="22">
        <v>45292</v>
      </c>
      <c r="AQ56" s="22">
        <v>47119</v>
      </c>
      <c r="AR56" s="22" t="s">
        <v>202</v>
      </c>
      <c r="AS56" s="22"/>
      <c r="AT56" s="38">
        <v>46233</v>
      </c>
      <c r="AU56" s="5" t="s">
        <v>654</v>
      </c>
      <c r="AV56" s="4">
        <v>1</v>
      </c>
      <c r="AW56" s="4" t="s">
        <v>954</v>
      </c>
      <c r="AX56" s="39">
        <v>45328</v>
      </c>
      <c r="AY56" s="39">
        <v>45328</v>
      </c>
      <c r="AZ56" s="4"/>
      <c r="BA56" s="22"/>
      <c r="BB56" s="22"/>
      <c r="BC56" s="22" t="s">
        <v>202</v>
      </c>
      <c r="BD56" s="34"/>
      <c r="BE56" s="32">
        <v>46233</v>
      </c>
      <c r="BF56" s="5" t="s">
        <v>654</v>
      </c>
      <c r="BG56" s="4">
        <v>1</v>
      </c>
      <c r="BH56" s="4" t="s">
        <v>958</v>
      </c>
      <c r="BI56" s="39">
        <v>45328</v>
      </c>
      <c r="BJ56" s="39">
        <v>45328</v>
      </c>
      <c r="BK56" s="4"/>
      <c r="BL56" s="22"/>
      <c r="BM56" s="22"/>
      <c r="BN56" s="22" t="s">
        <v>202</v>
      </c>
      <c r="BO56" s="22"/>
      <c r="BP56" s="32">
        <v>45503</v>
      </c>
      <c r="BQ56" s="5" t="s">
        <v>654</v>
      </c>
      <c r="BR56" s="4">
        <v>1</v>
      </c>
      <c r="BS56" s="4" t="s">
        <v>962</v>
      </c>
      <c r="BT56" s="39">
        <v>45328</v>
      </c>
      <c r="BU56" s="39">
        <v>45328</v>
      </c>
      <c r="BV56" s="4"/>
      <c r="BW56" s="23"/>
      <c r="BX56" s="23"/>
      <c r="BY56" s="22" t="s">
        <v>202</v>
      </c>
      <c r="BZ56" s="23"/>
      <c r="CA56" s="38">
        <v>46233</v>
      </c>
      <c r="CB56" s="5" t="s">
        <v>654</v>
      </c>
      <c r="CC56" s="23"/>
      <c r="CD56" s="23"/>
      <c r="CE56" s="23"/>
      <c r="CF56" s="23"/>
      <c r="CG56" s="23"/>
      <c r="CH56" s="23"/>
      <c r="CI56" s="31">
        <v>1</v>
      </c>
      <c r="CJ56" s="31" t="s">
        <v>966</v>
      </c>
      <c r="CK56" s="32">
        <v>45577</v>
      </c>
      <c r="CL56" s="32">
        <v>45577</v>
      </c>
      <c r="CM56" s="103">
        <v>46052</v>
      </c>
      <c r="CN56" s="5" t="s">
        <v>654</v>
      </c>
      <c r="CO56" s="104">
        <v>1</v>
      </c>
      <c r="CP56" s="4" t="s">
        <v>973</v>
      </c>
      <c r="CQ56" s="39">
        <v>45732</v>
      </c>
      <c r="CR56" s="39">
        <v>45732</v>
      </c>
      <c r="CS56" s="32">
        <v>46200</v>
      </c>
      <c r="CT56" s="5" t="s">
        <v>654</v>
      </c>
      <c r="CU56" s="104">
        <v>0</v>
      </c>
      <c r="CV56" s="4"/>
      <c r="CW56" s="39"/>
      <c r="CX56" s="39"/>
      <c r="CY56" s="33"/>
      <c r="CZ56" s="34"/>
      <c r="DA56" s="31"/>
      <c r="DB56" s="31"/>
      <c r="DC56" s="31"/>
      <c r="DD56" s="31"/>
      <c r="DE56" s="4">
        <v>0</v>
      </c>
      <c r="DF56" s="4"/>
      <c r="DG56" s="4"/>
      <c r="DH56" s="4"/>
      <c r="DI56" s="4"/>
      <c r="DJ56" s="4"/>
      <c r="DK56" s="4">
        <v>0</v>
      </c>
      <c r="DL56" s="4"/>
      <c r="DM56" s="4"/>
      <c r="DN56" s="4"/>
      <c r="DO56" s="4"/>
      <c r="DP56" s="4"/>
      <c r="DQ56" s="31">
        <v>1</v>
      </c>
      <c r="DR56" s="31" t="s">
        <v>989</v>
      </c>
      <c r="DS56" s="39">
        <v>45812</v>
      </c>
      <c r="DT56" s="32">
        <f t="shared" si="4"/>
        <v>45812</v>
      </c>
      <c r="DU56" s="103">
        <v>46052</v>
      </c>
      <c r="DV56" s="5" t="s">
        <v>654</v>
      </c>
      <c r="DW56" s="4">
        <v>1</v>
      </c>
      <c r="DX56" s="4" t="s">
        <v>1000</v>
      </c>
      <c r="DY56" s="39">
        <v>45732</v>
      </c>
      <c r="DZ56" s="32">
        <f>DY56</f>
        <v>45732</v>
      </c>
      <c r="EA56" s="103">
        <v>46052</v>
      </c>
      <c r="EB56" s="5" t="s">
        <v>654</v>
      </c>
      <c r="EC56" s="4">
        <v>0</v>
      </c>
      <c r="ED56" s="4"/>
      <c r="EE56" s="4"/>
      <c r="EF56" s="4">
        <v>0</v>
      </c>
      <c r="EG56" s="4"/>
      <c r="EH56" s="4"/>
      <c r="EI56" s="4"/>
      <c r="EJ56" s="26"/>
      <c r="EK56" s="26"/>
      <c r="EL56" s="26"/>
    </row>
    <row r="57" spans="1:142" hidden="1">
      <c r="A57" s="11">
        <v>54</v>
      </c>
      <c r="B57" s="110">
        <v>10624</v>
      </c>
      <c r="C57" s="131" t="s">
        <v>82</v>
      </c>
      <c r="D57" s="3">
        <v>1313088393</v>
      </c>
      <c r="E57" s="3" t="s">
        <v>30</v>
      </c>
      <c r="F57" s="26" t="s">
        <v>214</v>
      </c>
      <c r="G57" s="5" t="s">
        <v>77</v>
      </c>
      <c r="H57" s="4">
        <v>1</v>
      </c>
      <c r="I57" s="4" t="s">
        <v>891</v>
      </c>
      <c r="J57" s="32">
        <v>45161</v>
      </c>
      <c r="K57" s="32">
        <v>45161</v>
      </c>
      <c r="L57" s="32">
        <v>46233</v>
      </c>
      <c r="M57" s="32" t="s">
        <v>654</v>
      </c>
      <c r="N57" s="4">
        <v>1</v>
      </c>
      <c r="O57" s="4" t="s">
        <v>912</v>
      </c>
      <c r="P57" s="32">
        <f t="shared" si="1"/>
        <v>45161</v>
      </c>
      <c r="Q57" s="32">
        <v>45161</v>
      </c>
      <c r="R57" s="32">
        <v>46233</v>
      </c>
      <c r="S57" s="4" t="s">
        <v>654</v>
      </c>
      <c r="T57" s="4">
        <v>1</v>
      </c>
      <c r="U57" s="4" t="s">
        <v>931</v>
      </c>
      <c r="V57" s="32">
        <v>45818</v>
      </c>
      <c r="W57" s="32">
        <v>45818</v>
      </c>
      <c r="X57" s="32">
        <v>46233</v>
      </c>
      <c r="Y57" s="32" t="s">
        <v>654</v>
      </c>
      <c r="Z57" s="5">
        <v>1</v>
      </c>
      <c r="AA57" s="4" t="s">
        <v>947</v>
      </c>
      <c r="AB57" s="32">
        <f t="shared" ref="AB57" si="24">AC57</f>
        <v>45161</v>
      </c>
      <c r="AC57" s="32">
        <v>45161</v>
      </c>
      <c r="AD57" s="5"/>
      <c r="AE57" s="22">
        <v>44887</v>
      </c>
      <c r="AF57" s="22">
        <f>DATE(YEAR(AE57)+5,MONTH(AE57),DAY(AE57))</f>
        <v>46713</v>
      </c>
      <c r="AG57" s="5"/>
      <c r="AH57" s="36" t="s">
        <v>161</v>
      </c>
      <c r="AI57" s="32">
        <v>46233</v>
      </c>
      <c r="AJ57" s="5" t="s">
        <v>654</v>
      </c>
      <c r="AK57" s="4">
        <v>1</v>
      </c>
      <c r="AL57" s="4" t="s">
        <v>951</v>
      </c>
      <c r="AM57" s="32">
        <v>45161</v>
      </c>
      <c r="AN57" s="32">
        <v>45161</v>
      </c>
      <c r="AO57" s="4"/>
      <c r="AP57" s="22">
        <v>44856</v>
      </c>
      <c r="AQ57" s="34">
        <v>46687</v>
      </c>
      <c r="AR57" s="22" t="s">
        <v>163</v>
      </c>
      <c r="AS57" s="22" t="s">
        <v>162</v>
      </c>
      <c r="AT57" s="38">
        <v>46233</v>
      </c>
      <c r="AU57" s="5" t="s">
        <v>654</v>
      </c>
      <c r="AV57" s="5">
        <v>1</v>
      </c>
      <c r="AW57" s="4" t="s">
        <v>955</v>
      </c>
      <c r="AX57" s="32">
        <v>45161</v>
      </c>
      <c r="AY57" s="32">
        <v>45161</v>
      </c>
      <c r="AZ57" s="5"/>
      <c r="BA57" s="22">
        <v>44703</v>
      </c>
      <c r="BB57" s="34">
        <v>46529</v>
      </c>
      <c r="BC57" s="22" t="s">
        <v>163</v>
      </c>
      <c r="BD57" s="34" t="s">
        <v>1210</v>
      </c>
      <c r="BE57" s="38">
        <v>46233</v>
      </c>
      <c r="BF57" s="5" t="s">
        <v>654</v>
      </c>
      <c r="BG57" s="5">
        <v>1</v>
      </c>
      <c r="BH57" s="4" t="s">
        <v>959</v>
      </c>
      <c r="BI57" s="32">
        <v>45161</v>
      </c>
      <c r="BJ57" s="32">
        <v>45161</v>
      </c>
      <c r="BK57" s="5"/>
      <c r="BL57" s="22">
        <v>44703</v>
      </c>
      <c r="BM57" s="34">
        <v>46529</v>
      </c>
      <c r="BN57" s="22" t="s">
        <v>163</v>
      </c>
      <c r="BO57" s="22" t="s">
        <v>164</v>
      </c>
      <c r="BP57" s="38">
        <v>46233</v>
      </c>
      <c r="BQ57" s="5" t="s">
        <v>654</v>
      </c>
      <c r="BR57" s="5">
        <v>1</v>
      </c>
      <c r="BS57" s="4" t="s">
        <v>963</v>
      </c>
      <c r="BT57" s="32">
        <v>45161</v>
      </c>
      <c r="BU57" s="32">
        <v>45161</v>
      </c>
      <c r="BV57" s="5"/>
      <c r="BW57" s="23">
        <v>44483</v>
      </c>
      <c r="BX57" s="34">
        <v>46674</v>
      </c>
      <c r="BY57" s="22" t="s">
        <v>163</v>
      </c>
      <c r="BZ57" s="23" t="s">
        <v>165</v>
      </c>
      <c r="CA57" s="38">
        <v>46233</v>
      </c>
      <c r="CB57" s="5" t="s">
        <v>654</v>
      </c>
      <c r="CC57" s="23"/>
      <c r="CD57" s="23"/>
      <c r="CE57" s="23"/>
      <c r="CF57" s="23"/>
      <c r="CG57" s="23"/>
      <c r="CH57" s="23"/>
      <c r="CI57" s="31">
        <v>1</v>
      </c>
      <c r="CJ57" s="31" t="s">
        <v>967</v>
      </c>
      <c r="CK57" s="32">
        <v>45577</v>
      </c>
      <c r="CL57" s="32">
        <v>45577</v>
      </c>
      <c r="CM57" s="38">
        <v>46233</v>
      </c>
      <c r="CN57" s="5" t="s">
        <v>654</v>
      </c>
      <c r="CO57" s="104">
        <v>1</v>
      </c>
      <c r="CP57" s="4" t="s">
        <v>974</v>
      </c>
      <c r="CQ57" s="39">
        <v>45732</v>
      </c>
      <c r="CR57" s="39">
        <v>45732</v>
      </c>
      <c r="CS57" s="38">
        <v>46233</v>
      </c>
      <c r="CT57" s="5" t="s">
        <v>654</v>
      </c>
      <c r="CU57" s="104">
        <v>0</v>
      </c>
      <c r="CV57" s="4"/>
      <c r="CW57" s="39"/>
      <c r="CX57" s="39"/>
      <c r="CY57" s="33"/>
      <c r="CZ57" s="34"/>
      <c r="DA57" s="31"/>
      <c r="DB57" s="31"/>
      <c r="DC57" s="31"/>
      <c r="DD57" s="31"/>
      <c r="DE57" s="4">
        <v>0</v>
      </c>
      <c r="DF57" s="4"/>
      <c r="DG57" s="4"/>
      <c r="DH57" s="4"/>
      <c r="DI57" s="4"/>
      <c r="DJ57" s="4"/>
      <c r="DK57" s="4">
        <v>0</v>
      </c>
      <c r="DL57" s="4"/>
      <c r="DM57" s="4"/>
      <c r="DN57" s="4"/>
      <c r="DO57" s="4"/>
      <c r="DP57" s="4"/>
      <c r="DQ57" s="31">
        <v>0</v>
      </c>
      <c r="DR57" s="31"/>
      <c r="DS57" s="39"/>
      <c r="DT57" s="32"/>
      <c r="DU57" s="32"/>
      <c r="DV57" s="32"/>
      <c r="DW57" s="4">
        <v>0</v>
      </c>
      <c r="DX57" s="4"/>
      <c r="DY57" s="4"/>
      <c r="DZ57" s="4"/>
      <c r="EA57" s="4"/>
      <c r="EB57" s="4"/>
      <c r="EC57" s="4">
        <v>0</v>
      </c>
      <c r="ED57" s="4"/>
      <c r="EE57" s="4"/>
      <c r="EF57" s="4">
        <v>0</v>
      </c>
      <c r="EG57" s="4"/>
      <c r="EH57" s="4"/>
      <c r="EI57" s="4"/>
      <c r="EJ57" s="26"/>
      <c r="EK57" s="26"/>
      <c r="EL57" s="26"/>
    </row>
    <row r="58" spans="1:142" hidden="1">
      <c r="A58" s="11">
        <v>55</v>
      </c>
      <c r="B58" s="104">
        <v>10765</v>
      </c>
      <c r="C58" s="5" t="s">
        <v>83</v>
      </c>
      <c r="D58" s="5">
        <v>1313438589</v>
      </c>
      <c r="E58" s="5" t="s">
        <v>45</v>
      </c>
      <c r="F58" s="26" t="s">
        <v>171</v>
      </c>
      <c r="G58" s="5" t="s">
        <v>77</v>
      </c>
      <c r="H58" s="4">
        <v>1</v>
      </c>
      <c r="I58" s="4" t="s">
        <v>892</v>
      </c>
      <c r="J58" s="32">
        <f t="shared" ref="J58:J65" si="25">K58</f>
        <v>45818</v>
      </c>
      <c r="K58" s="32">
        <v>45818</v>
      </c>
      <c r="L58" s="32">
        <v>46200</v>
      </c>
      <c r="M58" s="4" t="s">
        <v>654</v>
      </c>
      <c r="N58" s="4">
        <v>1</v>
      </c>
      <c r="O58" s="4" t="s">
        <v>913</v>
      </c>
      <c r="P58" s="32">
        <f t="shared" si="1"/>
        <v>45927</v>
      </c>
      <c r="Q58" s="39">
        <v>45927</v>
      </c>
      <c r="R58" s="32">
        <v>46200</v>
      </c>
      <c r="S58" s="4" t="s">
        <v>654</v>
      </c>
      <c r="T58" s="4">
        <v>1</v>
      </c>
      <c r="U58" s="4" t="s">
        <v>932</v>
      </c>
      <c r="V58" s="32">
        <v>45818</v>
      </c>
      <c r="W58" s="32">
        <v>45818</v>
      </c>
      <c r="X58" s="32">
        <v>46200</v>
      </c>
      <c r="Y58" s="4" t="s">
        <v>654</v>
      </c>
      <c r="Z58" s="4">
        <v>0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>
        <v>0</v>
      </c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>
        <v>0</v>
      </c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>
        <v>0</v>
      </c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>
        <v>0</v>
      </c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>
        <v>0</v>
      </c>
      <c r="CJ58" s="4"/>
      <c r="CK58" s="4"/>
      <c r="CL58" s="4"/>
      <c r="CM58" s="4"/>
      <c r="CN58" s="4"/>
      <c r="CO58" s="104">
        <v>0</v>
      </c>
      <c r="CP58" s="4"/>
      <c r="CQ58" s="39"/>
      <c r="CR58" s="39"/>
      <c r="CS58" s="39"/>
      <c r="CT58" s="39"/>
      <c r="CU58" s="104">
        <v>0</v>
      </c>
      <c r="CV58" s="4"/>
      <c r="CW58" s="39"/>
      <c r="CX58" s="39"/>
      <c r="CY58" s="33"/>
      <c r="CZ58" s="34"/>
      <c r="DA58" s="31"/>
      <c r="DB58" s="31"/>
      <c r="DC58" s="31"/>
      <c r="DD58" s="31"/>
      <c r="DE58" s="4">
        <v>0</v>
      </c>
      <c r="DF58" s="4"/>
      <c r="DG58" s="4"/>
      <c r="DH58" s="4"/>
      <c r="DI58" s="4"/>
      <c r="DJ58" s="4"/>
      <c r="DK58" s="4">
        <v>0</v>
      </c>
      <c r="DL58" s="4"/>
      <c r="DM58" s="4"/>
      <c r="DN58" s="4"/>
      <c r="DO58" s="4"/>
      <c r="DP58" s="4"/>
      <c r="DQ58" s="31">
        <v>1</v>
      </c>
      <c r="DR58" s="31" t="s">
        <v>990</v>
      </c>
      <c r="DS58" s="39">
        <v>45812</v>
      </c>
      <c r="DT58" s="32">
        <f t="shared" si="4"/>
        <v>45812</v>
      </c>
      <c r="DU58" s="103">
        <v>46052</v>
      </c>
      <c r="DV58" s="5" t="s">
        <v>654</v>
      </c>
      <c r="DW58" s="4">
        <v>0</v>
      </c>
      <c r="DX58" s="4"/>
      <c r="DY58" s="39"/>
      <c r="DZ58" s="32"/>
      <c r="EA58" s="32"/>
      <c r="EB58" s="32"/>
      <c r="EC58" s="4">
        <v>0</v>
      </c>
      <c r="ED58" s="4"/>
      <c r="EE58" s="4"/>
      <c r="EF58" s="4">
        <v>0</v>
      </c>
      <c r="EG58" s="4"/>
      <c r="EH58" s="4"/>
      <c r="EI58" s="4"/>
      <c r="EJ58" s="26"/>
      <c r="EK58" s="26"/>
      <c r="EL58" s="26"/>
    </row>
    <row r="59" spans="1:142" hidden="1">
      <c r="A59" s="11">
        <v>56</v>
      </c>
      <c r="B59" s="104">
        <v>10772</v>
      </c>
      <c r="C59" s="5" t="s">
        <v>84</v>
      </c>
      <c r="D59" s="5">
        <v>1313438607</v>
      </c>
      <c r="E59" s="4" t="s">
        <v>42</v>
      </c>
      <c r="F59" s="26" t="s">
        <v>171</v>
      </c>
      <c r="G59" s="5" t="s">
        <v>77</v>
      </c>
      <c r="H59" s="4">
        <v>1</v>
      </c>
      <c r="I59" s="4" t="s">
        <v>893</v>
      </c>
      <c r="J59" s="32">
        <f t="shared" si="25"/>
        <v>45161</v>
      </c>
      <c r="K59" s="32">
        <v>45161</v>
      </c>
      <c r="L59" s="32">
        <v>46200</v>
      </c>
      <c r="M59" s="4" t="s">
        <v>654</v>
      </c>
      <c r="N59" s="4">
        <v>1</v>
      </c>
      <c r="O59" s="4" t="s">
        <v>914</v>
      </c>
      <c r="P59" s="32">
        <f t="shared" si="1"/>
        <v>45927</v>
      </c>
      <c r="Q59" s="39">
        <v>45927</v>
      </c>
      <c r="R59" s="32">
        <v>46200</v>
      </c>
      <c r="S59" s="4" t="s">
        <v>654</v>
      </c>
      <c r="T59" s="4">
        <v>1</v>
      </c>
      <c r="U59" s="4" t="s">
        <v>933</v>
      </c>
      <c r="V59" s="32">
        <v>45818</v>
      </c>
      <c r="W59" s="32">
        <v>45818</v>
      </c>
      <c r="X59" s="32">
        <v>46200</v>
      </c>
      <c r="Y59" s="32" t="s">
        <v>405</v>
      </c>
      <c r="Z59" s="4">
        <v>0</v>
      </c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>
        <v>0</v>
      </c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>
        <v>0</v>
      </c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>
        <v>0</v>
      </c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>
        <v>0</v>
      </c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>
        <v>0</v>
      </c>
      <c r="CJ59" s="4"/>
      <c r="CK59" s="4"/>
      <c r="CL59" s="4"/>
      <c r="CM59" s="4"/>
      <c r="CN59" s="4"/>
      <c r="CO59" s="104">
        <v>0</v>
      </c>
      <c r="CP59" s="4"/>
      <c r="CQ59" s="39"/>
      <c r="CR59" s="39"/>
      <c r="CS59" s="39"/>
      <c r="CT59" s="39"/>
      <c r="CU59" s="104">
        <v>0</v>
      </c>
      <c r="CV59" s="4"/>
      <c r="CW59" s="39"/>
      <c r="CX59" s="39"/>
      <c r="CY59" s="33"/>
      <c r="CZ59" s="34"/>
      <c r="DA59" s="31"/>
      <c r="DB59" s="31"/>
      <c r="DC59" s="31"/>
      <c r="DD59" s="31"/>
      <c r="DE59" s="4">
        <v>0</v>
      </c>
      <c r="DF59" s="4"/>
      <c r="DG59" s="4"/>
      <c r="DH59" s="4"/>
      <c r="DI59" s="4"/>
      <c r="DJ59" s="4"/>
      <c r="DK59" s="4">
        <v>0</v>
      </c>
      <c r="DL59" s="4"/>
      <c r="DM59" s="4"/>
      <c r="DN59" s="4"/>
      <c r="DO59" s="4"/>
      <c r="DP59" s="4"/>
      <c r="DQ59" s="31">
        <v>0</v>
      </c>
      <c r="DR59" s="31"/>
      <c r="DS59" s="39"/>
      <c r="DT59" s="32"/>
      <c r="DU59" s="32"/>
      <c r="DV59" s="32"/>
      <c r="DW59" s="4">
        <v>0</v>
      </c>
      <c r="DX59" s="4"/>
      <c r="DY59" s="39"/>
      <c r="DZ59" s="32"/>
      <c r="EA59" s="32"/>
      <c r="EB59" s="32"/>
      <c r="EC59" s="4">
        <v>0</v>
      </c>
      <c r="ED59" s="4"/>
      <c r="EE59" s="4"/>
      <c r="EF59" s="4">
        <v>0</v>
      </c>
      <c r="EG59" s="4"/>
      <c r="EH59" s="4"/>
      <c r="EI59" s="4"/>
      <c r="EJ59" s="26"/>
      <c r="EK59" s="26"/>
      <c r="EL59" s="26"/>
    </row>
    <row r="60" spans="1:142" hidden="1">
      <c r="A60" s="11">
        <v>57</v>
      </c>
      <c r="B60" s="104">
        <v>10801</v>
      </c>
      <c r="C60" s="5" t="s">
        <v>85</v>
      </c>
      <c r="D60" s="4">
        <v>1313438508</v>
      </c>
      <c r="E60" s="4" t="s">
        <v>33</v>
      </c>
      <c r="F60" s="26" t="s">
        <v>171</v>
      </c>
      <c r="G60" s="5" t="s">
        <v>77</v>
      </c>
      <c r="H60" s="4">
        <v>1</v>
      </c>
      <c r="I60" s="4" t="s">
        <v>894</v>
      </c>
      <c r="J60" s="32">
        <f t="shared" si="25"/>
        <v>45818</v>
      </c>
      <c r="K60" s="32">
        <v>45818</v>
      </c>
      <c r="L60" s="32">
        <v>46200</v>
      </c>
      <c r="M60" s="32" t="s">
        <v>405</v>
      </c>
      <c r="N60" s="4">
        <v>1</v>
      </c>
      <c r="O60" s="4" t="s">
        <v>915</v>
      </c>
      <c r="P60" s="32">
        <f t="shared" si="1"/>
        <v>45927</v>
      </c>
      <c r="Q60" s="39">
        <v>45927</v>
      </c>
      <c r="R60" s="32">
        <v>46200</v>
      </c>
      <c r="S60" s="4" t="s">
        <v>654</v>
      </c>
      <c r="T60" s="4">
        <v>1</v>
      </c>
      <c r="U60" s="4" t="s">
        <v>934</v>
      </c>
      <c r="V60" s="32">
        <v>45818</v>
      </c>
      <c r="W60" s="32">
        <v>45818</v>
      </c>
      <c r="X60" s="32">
        <v>46200</v>
      </c>
      <c r="Y60" s="4" t="s">
        <v>654</v>
      </c>
      <c r="Z60" s="4">
        <v>0</v>
      </c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>
        <v>0</v>
      </c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>
        <v>0</v>
      </c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>
        <v>0</v>
      </c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>
        <v>0</v>
      </c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>
        <v>0</v>
      </c>
      <c r="CJ60" s="4"/>
      <c r="CK60" s="4"/>
      <c r="CL60" s="4"/>
      <c r="CM60" s="4"/>
      <c r="CN60" s="4"/>
      <c r="CO60" s="104">
        <v>0</v>
      </c>
      <c r="CP60" s="4"/>
      <c r="CQ60" s="39"/>
      <c r="CR60" s="39"/>
      <c r="CS60" s="39"/>
      <c r="CT60" s="39"/>
      <c r="CU60" s="104">
        <v>0</v>
      </c>
      <c r="CV60" s="4"/>
      <c r="CW60" s="39"/>
      <c r="CX60" s="39"/>
      <c r="CY60" s="33"/>
      <c r="CZ60" s="34"/>
      <c r="DA60" s="31"/>
      <c r="DB60" s="31"/>
      <c r="DC60" s="31"/>
      <c r="DD60" s="31"/>
      <c r="DE60" s="4">
        <v>0</v>
      </c>
      <c r="DF60" s="4"/>
      <c r="DG60" s="4"/>
      <c r="DH60" s="4"/>
      <c r="DI60" s="4"/>
      <c r="DJ60" s="4"/>
      <c r="DK60" s="4">
        <v>0</v>
      </c>
      <c r="DL60" s="4"/>
      <c r="DM60" s="4"/>
      <c r="DN60" s="4"/>
      <c r="DO60" s="4"/>
      <c r="DP60" s="4"/>
      <c r="DQ60" s="31">
        <v>1</v>
      </c>
      <c r="DR60" s="31" t="s">
        <v>991</v>
      </c>
      <c r="DS60" s="39">
        <v>45812</v>
      </c>
      <c r="DT60" s="32">
        <f t="shared" si="4"/>
        <v>45812</v>
      </c>
      <c r="DU60" s="103">
        <v>46052</v>
      </c>
      <c r="DV60" s="5" t="s">
        <v>654</v>
      </c>
      <c r="DW60" s="4">
        <v>0</v>
      </c>
      <c r="DX60" s="4"/>
      <c r="DY60" s="4"/>
      <c r="DZ60" s="4"/>
      <c r="EA60" s="4"/>
      <c r="EB60" s="4"/>
      <c r="EC60" s="4">
        <v>0</v>
      </c>
      <c r="ED60" s="4"/>
      <c r="EE60" s="4"/>
      <c r="EF60" s="4">
        <v>0</v>
      </c>
      <c r="EG60" s="4"/>
      <c r="EH60" s="4"/>
      <c r="EI60" s="4"/>
      <c r="EJ60" s="26"/>
      <c r="EK60" s="26"/>
      <c r="EL60" s="26"/>
    </row>
    <row r="61" spans="1:142" hidden="1">
      <c r="A61" s="11">
        <v>58</v>
      </c>
      <c r="B61" s="104">
        <v>11006</v>
      </c>
      <c r="C61" s="5" t="s">
        <v>86</v>
      </c>
      <c r="D61" s="3">
        <v>1313088394</v>
      </c>
      <c r="E61" s="4" t="s">
        <v>44</v>
      </c>
      <c r="F61" s="26" t="s">
        <v>171</v>
      </c>
      <c r="G61" s="5" t="s">
        <v>77</v>
      </c>
      <c r="H61" s="4">
        <v>1</v>
      </c>
      <c r="I61" s="4" t="s">
        <v>895</v>
      </c>
      <c r="J61" s="32">
        <f t="shared" si="25"/>
        <v>45161</v>
      </c>
      <c r="K61" s="32">
        <v>45161</v>
      </c>
      <c r="L61" s="32">
        <v>46200</v>
      </c>
      <c r="M61" s="32" t="s">
        <v>405</v>
      </c>
      <c r="N61" s="4">
        <v>1</v>
      </c>
      <c r="O61" s="4" t="s">
        <v>916</v>
      </c>
      <c r="P61" s="32">
        <f t="shared" si="1"/>
        <v>45927</v>
      </c>
      <c r="Q61" s="39">
        <v>45927</v>
      </c>
      <c r="R61" s="32">
        <v>46200</v>
      </c>
      <c r="S61" s="4" t="s">
        <v>654</v>
      </c>
      <c r="T61" s="4">
        <v>1</v>
      </c>
      <c r="U61" s="4" t="s">
        <v>935</v>
      </c>
      <c r="V61" s="32">
        <v>45818</v>
      </c>
      <c r="W61" s="32">
        <v>45818</v>
      </c>
      <c r="X61" s="32">
        <v>46200</v>
      </c>
      <c r="Y61" s="32" t="s">
        <v>405</v>
      </c>
      <c r="Z61" s="5">
        <v>0</v>
      </c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4">
        <v>0</v>
      </c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5">
        <v>0</v>
      </c>
      <c r="AW61" s="5"/>
      <c r="AX61" s="5"/>
      <c r="AY61" s="5"/>
      <c r="AZ61" s="5"/>
      <c r="BA61" s="5"/>
      <c r="BB61" s="5"/>
      <c r="BC61" s="5"/>
      <c r="BD61" s="5"/>
      <c r="BE61" s="4"/>
      <c r="BF61" s="4"/>
      <c r="BG61" s="5">
        <v>0</v>
      </c>
      <c r="BH61" s="5"/>
      <c r="BI61" s="5"/>
      <c r="BJ61" s="5"/>
      <c r="BK61" s="5"/>
      <c r="BL61" s="5"/>
      <c r="BM61" s="5"/>
      <c r="BN61" s="5"/>
      <c r="BO61" s="5"/>
      <c r="BP61" s="4"/>
      <c r="BQ61" s="4"/>
      <c r="BR61" s="5">
        <v>0</v>
      </c>
      <c r="BS61" s="5"/>
      <c r="BT61" s="5"/>
      <c r="BU61" s="5"/>
      <c r="BV61" s="5"/>
      <c r="BW61" s="5"/>
      <c r="BX61" s="5"/>
      <c r="BY61" s="5"/>
      <c r="BZ61" s="5"/>
      <c r="CA61" s="4"/>
      <c r="CB61" s="4"/>
      <c r="CC61" s="5"/>
      <c r="CD61" s="5"/>
      <c r="CE61" s="5"/>
      <c r="CF61" s="5"/>
      <c r="CG61" s="5"/>
      <c r="CH61" s="5"/>
      <c r="CI61" s="4">
        <v>0</v>
      </c>
      <c r="CJ61" s="4"/>
      <c r="CK61" s="4"/>
      <c r="CL61" s="4"/>
      <c r="CM61" s="4"/>
      <c r="CN61" s="4"/>
      <c r="CO61" s="104">
        <v>0</v>
      </c>
      <c r="CP61" s="4"/>
      <c r="CQ61" s="39"/>
      <c r="CR61" s="39"/>
      <c r="CS61" s="39"/>
      <c r="CT61" s="39"/>
      <c r="CU61" s="104">
        <v>0</v>
      </c>
      <c r="CV61" s="4"/>
      <c r="CW61" s="39"/>
      <c r="CX61" s="39"/>
      <c r="CY61" s="33"/>
      <c r="CZ61" s="34"/>
      <c r="DA61" s="31"/>
      <c r="DB61" s="31"/>
      <c r="DC61" s="31"/>
      <c r="DD61" s="31"/>
      <c r="DE61" s="4">
        <v>0</v>
      </c>
      <c r="DF61" s="4"/>
      <c r="DG61" s="4"/>
      <c r="DH61" s="4"/>
      <c r="DI61" s="4"/>
      <c r="DJ61" s="4"/>
      <c r="DK61" s="4">
        <v>0</v>
      </c>
      <c r="DL61" s="4"/>
      <c r="DM61" s="4"/>
      <c r="DN61" s="4"/>
      <c r="DO61" s="4"/>
      <c r="DP61" s="4"/>
      <c r="DQ61" s="31">
        <v>1</v>
      </c>
      <c r="DR61" s="31" t="s">
        <v>992</v>
      </c>
      <c r="DS61" s="39">
        <v>45812</v>
      </c>
      <c r="DT61" s="32">
        <f t="shared" si="4"/>
        <v>45812</v>
      </c>
      <c r="DU61" s="103">
        <v>46052</v>
      </c>
      <c r="DV61" s="5" t="s">
        <v>654</v>
      </c>
      <c r="DW61" s="4">
        <v>1</v>
      </c>
      <c r="DX61" s="4" t="s">
        <v>1001</v>
      </c>
      <c r="DY61" s="39">
        <v>45732</v>
      </c>
      <c r="DZ61" s="32">
        <f>DY61</f>
        <v>45732</v>
      </c>
      <c r="EA61" s="103">
        <v>46052</v>
      </c>
      <c r="EB61" s="5" t="s">
        <v>654</v>
      </c>
      <c r="EC61" s="4">
        <v>0</v>
      </c>
      <c r="ED61" s="4"/>
      <c r="EE61" s="4"/>
      <c r="EF61" s="4">
        <v>0</v>
      </c>
      <c r="EG61" s="4"/>
      <c r="EH61" s="43"/>
      <c r="EI61" s="43"/>
      <c r="EJ61" s="26"/>
      <c r="EK61" s="26"/>
      <c r="EL61" s="26"/>
    </row>
    <row r="62" spans="1:142" hidden="1">
      <c r="A62" s="11">
        <v>59</v>
      </c>
      <c r="B62" s="104">
        <v>11027</v>
      </c>
      <c r="C62" s="5" t="s">
        <v>87</v>
      </c>
      <c r="D62" s="5">
        <v>1313438571</v>
      </c>
      <c r="E62" s="3" t="s">
        <v>26</v>
      </c>
      <c r="F62" s="26" t="s">
        <v>171</v>
      </c>
      <c r="G62" s="5" t="s">
        <v>77</v>
      </c>
      <c r="H62" s="4">
        <v>1</v>
      </c>
      <c r="I62" s="4" t="s">
        <v>896</v>
      </c>
      <c r="J62" s="32">
        <f t="shared" si="25"/>
        <v>45161</v>
      </c>
      <c r="K62" s="32">
        <v>45161</v>
      </c>
      <c r="L62" s="32">
        <v>46200</v>
      </c>
      <c r="M62" s="32" t="s">
        <v>405</v>
      </c>
      <c r="N62" s="4">
        <v>1</v>
      </c>
      <c r="O62" s="4" t="s">
        <v>907</v>
      </c>
      <c r="P62" s="32">
        <f t="shared" si="1"/>
        <v>45927</v>
      </c>
      <c r="Q62" s="39">
        <v>45927</v>
      </c>
      <c r="R62" s="32">
        <v>46200</v>
      </c>
      <c r="S62" s="4" t="s">
        <v>654</v>
      </c>
      <c r="T62" s="4">
        <v>1</v>
      </c>
      <c r="U62" s="4" t="s">
        <v>936</v>
      </c>
      <c r="V62" s="32">
        <v>45818</v>
      </c>
      <c r="W62" s="32">
        <v>45818</v>
      </c>
      <c r="X62" s="32">
        <v>46200</v>
      </c>
      <c r="Y62" s="4" t="s">
        <v>654</v>
      </c>
      <c r="Z62" s="4">
        <v>0</v>
      </c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>
        <v>0</v>
      </c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>
        <v>0</v>
      </c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>
        <v>0</v>
      </c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>
        <v>0</v>
      </c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>
        <v>0</v>
      </c>
      <c r="CJ62" s="4"/>
      <c r="CK62" s="4"/>
      <c r="CL62" s="4"/>
      <c r="CM62" s="4"/>
      <c r="CN62" s="4"/>
      <c r="CO62" s="104">
        <v>1</v>
      </c>
      <c r="CP62" s="4" t="s">
        <v>975</v>
      </c>
      <c r="CQ62" s="39">
        <v>45732</v>
      </c>
      <c r="CR62" s="39">
        <v>45732</v>
      </c>
      <c r="CS62" s="32">
        <v>46200</v>
      </c>
      <c r="CT62" s="5" t="s">
        <v>654</v>
      </c>
      <c r="CU62" s="104">
        <v>0</v>
      </c>
      <c r="CV62" s="4"/>
      <c r="CW62" s="39"/>
      <c r="CX62" s="39"/>
      <c r="CY62" s="33"/>
      <c r="CZ62" s="34"/>
      <c r="DA62" s="31"/>
      <c r="DB62" s="31"/>
      <c r="DC62" s="31"/>
      <c r="DD62" s="31"/>
      <c r="DE62" s="4">
        <v>0</v>
      </c>
      <c r="DF62" s="4"/>
      <c r="DG62" s="4"/>
      <c r="DH62" s="4"/>
      <c r="DI62" s="4"/>
      <c r="DJ62" s="4"/>
      <c r="DK62" s="4">
        <v>0</v>
      </c>
      <c r="DL62" s="4"/>
      <c r="DM62" s="4"/>
      <c r="DN62" s="4"/>
      <c r="DO62" s="4"/>
      <c r="DP62" s="4"/>
      <c r="DQ62" s="31">
        <v>0</v>
      </c>
      <c r="DR62" s="31"/>
      <c r="DS62" s="39"/>
      <c r="DT62" s="32"/>
      <c r="DU62" s="32"/>
      <c r="DV62" s="32"/>
      <c r="DW62" s="4">
        <v>0</v>
      </c>
      <c r="DX62" s="4"/>
      <c r="DY62" s="4"/>
      <c r="DZ62" s="4"/>
      <c r="EA62" s="4"/>
      <c r="EB62" s="4"/>
      <c r="EC62" s="4">
        <v>0</v>
      </c>
      <c r="ED62" s="4"/>
      <c r="EE62" s="4"/>
      <c r="EF62" s="4">
        <v>0</v>
      </c>
      <c r="EG62" s="4"/>
      <c r="EH62" s="4"/>
      <c r="EI62" s="4"/>
      <c r="EJ62" s="26"/>
      <c r="EK62" s="26"/>
      <c r="EL62" s="26"/>
    </row>
    <row r="63" spans="1:142" hidden="1">
      <c r="A63" s="11">
        <v>60</v>
      </c>
      <c r="B63" s="104">
        <v>11119</v>
      </c>
      <c r="C63" s="5" t="s">
        <v>88</v>
      </c>
      <c r="D63" s="3">
        <v>1313088536</v>
      </c>
      <c r="E63" s="3" t="s">
        <v>53</v>
      </c>
      <c r="F63" s="26" t="s">
        <v>171</v>
      </c>
      <c r="G63" s="5" t="s">
        <v>77</v>
      </c>
      <c r="H63" s="4">
        <v>1</v>
      </c>
      <c r="I63" s="4" t="s">
        <v>897</v>
      </c>
      <c r="J63" s="32">
        <f t="shared" si="25"/>
        <v>45818</v>
      </c>
      <c r="K63" s="32">
        <v>45818</v>
      </c>
      <c r="L63" s="32">
        <v>46200</v>
      </c>
      <c r="M63" s="4" t="s">
        <v>654</v>
      </c>
      <c r="N63" s="4">
        <v>1</v>
      </c>
      <c r="O63" s="4" t="s">
        <v>917</v>
      </c>
      <c r="P63" s="32">
        <f t="shared" si="1"/>
        <v>45927</v>
      </c>
      <c r="Q63" s="39">
        <v>45927</v>
      </c>
      <c r="R63" s="32">
        <v>46200</v>
      </c>
      <c r="S63" s="4" t="s">
        <v>654</v>
      </c>
      <c r="T63" s="4">
        <v>1</v>
      </c>
      <c r="U63" s="4" t="s">
        <v>937</v>
      </c>
      <c r="V63" s="32">
        <v>45818</v>
      </c>
      <c r="W63" s="32">
        <v>45818</v>
      </c>
      <c r="X63" s="32">
        <v>46200</v>
      </c>
      <c r="Y63" s="32" t="s">
        <v>405</v>
      </c>
      <c r="Z63" s="4">
        <v>0</v>
      </c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>
        <v>0</v>
      </c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>
        <v>0</v>
      </c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>
        <v>0</v>
      </c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>
        <v>0</v>
      </c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>
        <v>0</v>
      </c>
      <c r="CJ63" s="4"/>
      <c r="CK63" s="4"/>
      <c r="CL63" s="4"/>
      <c r="CM63" s="4"/>
      <c r="CN63" s="4"/>
      <c r="CO63" s="104">
        <v>0</v>
      </c>
      <c r="CP63" s="4"/>
      <c r="CQ63" s="39"/>
      <c r="CR63" s="39"/>
      <c r="CS63" s="39"/>
      <c r="CT63" s="39"/>
      <c r="CU63" s="104">
        <v>0</v>
      </c>
      <c r="CV63" s="4"/>
      <c r="CW63" s="39"/>
      <c r="CX63" s="39"/>
      <c r="CY63" s="33"/>
      <c r="CZ63" s="34"/>
      <c r="DA63" s="31"/>
      <c r="DB63" s="31"/>
      <c r="DC63" s="31"/>
      <c r="DD63" s="31"/>
      <c r="DE63" s="4">
        <v>0</v>
      </c>
      <c r="DF63" s="4"/>
      <c r="DG63" s="4"/>
      <c r="DH63" s="4"/>
      <c r="DI63" s="4"/>
      <c r="DJ63" s="4"/>
      <c r="DK63" s="4">
        <v>0</v>
      </c>
      <c r="DL63" s="4"/>
      <c r="DM63" s="4"/>
      <c r="DN63" s="4"/>
      <c r="DO63" s="4"/>
      <c r="DP63" s="4"/>
      <c r="DQ63" s="31">
        <v>1</v>
      </c>
      <c r="DR63" s="31" t="s">
        <v>993</v>
      </c>
      <c r="DS63" s="39">
        <v>45812</v>
      </c>
      <c r="DT63" s="32">
        <f t="shared" si="4"/>
        <v>45812</v>
      </c>
      <c r="DU63" s="103">
        <v>46052</v>
      </c>
      <c r="DV63" s="5" t="s">
        <v>654</v>
      </c>
      <c r="DW63" s="4">
        <v>0</v>
      </c>
      <c r="DX63" s="4"/>
      <c r="DY63" s="4"/>
      <c r="DZ63" s="4"/>
      <c r="EA63" s="4"/>
      <c r="EB63" s="4"/>
      <c r="EC63" s="4">
        <v>0</v>
      </c>
      <c r="ED63" s="4"/>
      <c r="EE63" s="4"/>
      <c r="EF63" s="4">
        <v>0</v>
      </c>
      <c r="EG63" s="4"/>
      <c r="EH63" s="4"/>
      <c r="EI63" s="4"/>
      <c r="EJ63" s="26"/>
      <c r="EK63" s="26"/>
      <c r="EL63" s="26"/>
    </row>
    <row r="64" spans="1:142" hidden="1">
      <c r="A64" s="11">
        <v>61</v>
      </c>
      <c r="B64" s="110">
        <v>11186</v>
      </c>
      <c r="C64" s="5" t="s">
        <v>89</v>
      </c>
      <c r="D64" s="4">
        <v>1313438580</v>
      </c>
      <c r="E64" s="3" t="s">
        <v>41</v>
      </c>
      <c r="F64" s="26" t="s">
        <v>171</v>
      </c>
      <c r="G64" s="5" t="s">
        <v>77</v>
      </c>
      <c r="H64" s="4">
        <v>1</v>
      </c>
      <c r="I64" s="4" t="s">
        <v>898</v>
      </c>
      <c r="J64" s="32">
        <f t="shared" si="25"/>
        <v>45161</v>
      </c>
      <c r="K64" s="32">
        <v>45161</v>
      </c>
      <c r="L64" s="32">
        <v>46200</v>
      </c>
      <c r="M64" s="32" t="s">
        <v>405</v>
      </c>
      <c r="N64" s="4">
        <v>1</v>
      </c>
      <c r="O64" s="4" t="s">
        <v>918</v>
      </c>
      <c r="P64" s="32">
        <f t="shared" si="1"/>
        <v>45927</v>
      </c>
      <c r="Q64" s="39">
        <v>45927</v>
      </c>
      <c r="R64" s="32">
        <v>46200</v>
      </c>
      <c r="S64" s="4" t="s">
        <v>654</v>
      </c>
      <c r="T64" s="4">
        <v>1</v>
      </c>
      <c r="U64" s="4" t="s">
        <v>938</v>
      </c>
      <c r="V64" s="32">
        <v>45818</v>
      </c>
      <c r="W64" s="32">
        <v>45818</v>
      </c>
      <c r="X64" s="32">
        <v>46200</v>
      </c>
      <c r="Y64" s="4" t="s">
        <v>654</v>
      </c>
      <c r="Z64" s="4">
        <v>0</v>
      </c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>
        <v>0</v>
      </c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>
        <v>0</v>
      </c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>
        <v>0</v>
      </c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>
        <v>0</v>
      </c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>
        <v>0</v>
      </c>
      <c r="CJ64" s="4"/>
      <c r="CK64" s="4"/>
      <c r="CL64" s="4"/>
      <c r="CM64" s="4"/>
      <c r="CN64" s="4"/>
      <c r="CO64" s="104">
        <v>0</v>
      </c>
      <c r="CP64" s="4"/>
      <c r="CQ64" s="39"/>
      <c r="CR64" s="39"/>
      <c r="CS64" s="39"/>
      <c r="CT64" s="39"/>
      <c r="CU64" s="104">
        <v>1</v>
      </c>
      <c r="CV64" s="4" t="s">
        <v>981</v>
      </c>
      <c r="CW64" s="39">
        <f t="shared" si="22"/>
        <v>45818</v>
      </c>
      <c r="CX64" s="39">
        <v>45818</v>
      </c>
      <c r="CY64" s="33">
        <v>45658</v>
      </c>
      <c r="CZ64" s="34">
        <v>46388</v>
      </c>
      <c r="DA64" s="31" t="s">
        <v>166</v>
      </c>
      <c r="DB64" s="31" t="s">
        <v>167</v>
      </c>
      <c r="DC64" s="32">
        <v>46200</v>
      </c>
      <c r="DD64" s="5" t="s">
        <v>654</v>
      </c>
      <c r="DE64" s="4">
        <v>0</v>
      </c>
      <c r="DF64" s="4"/>
      <c r="DG64" s="4"/>
      <c r="DH64" s="4"/>
      <c r="DI64" s="4"/>
      <c r="DJ64" s="4"/>
      <c r="DK64" s="4">
        <v>0</v>
      </c>
      <c r="DL64" s="4"/>
      <c r="DM64" s="4"/>
      <c r="DN64" s="4"/>
      <c r="DO64" s="4"/>
      <c r="DP64" s="4"/>
      <c r="DQ64" s="31">
        <v>0</v>
      </c>
      <c r="DR64" s="31"/>
      <c r="DS64" s="39"/>
      <c r="DT64" s="32"/>
      <c r="DU64" s="32"/>
      <c r="DV64" s="32"/>
      <c r="DW64" s="4">
        <v>1</v>
      </c>
      <c r="DX64" s="4" t="s">
        <v>1002</v>
      </c>
      <c r="DY64" s="39">
        <v>45732</v>
      </c>
      <c r="DZ64" s="32">
        <f>DY64</f>
        <v>45732</v>
      </c>
      <c r="EA64" s="103">
        <v>46052</v>
      </c>
      <c r="EB64" s="5" t="s">
        <v>654</v>
      </c>
      <c r="EC64" s="4">
        <v>0</v>
      </c>
      <c r="ED64" s="4"/>
      <c r="EE64" s="4"/>
      <c r="EF64" s="4">
        <v>0</v>
      </c>
      <c r="EG64" s="4"/>
      <c r="EH64" s="4"/>
      <c r="EI64" s="4"/>
      <c r="EJ64" s="26"/>
      <c r="EK64" s="26"/>
      <c r="EL64" s="26"/>
    </row>
    <row r="65" spans="1:142" hidden="1">
      <c r="A65" s="11">
        <v>62</v>
      </c>
      <c r="B65" s="114">
        <v>11901</v>
      </c>
      <c r="C65" s="87" t="s">
        <v>344</v>
      </c>
      <c r="D65" s="3">
        <v>1313088464</v>
      </c>
      <c r="E65" s="4" t="s">
        <v>42</v>
      </c>
      <c r="F65" s="26" t="s">
        <v>171</v>
      </c>
      <c r="G65" s="5" t="s">
        <v>77</v>
      </c>
      <c r="H65" s="4">
        <v>1</v>
      </c>
      <c r="I65" s="4" t="s">
        <v>899</v>
      </c>
      <c r="J65" s="32">
        <f t="shared" si="25"/>
        <v>45161</v>
      </c>
      <c r="K65" s="32">
        <v>45161</v>
      </c>
      <c r="L65" s="32">
        <v>46200</v>
      </c>
      <c r="M65" s="4" t="s">
        <v>167</v>
      </c>
      <c r="N65" s="4">
        <v>1</v>
      </c>
      <c r="O65" s="4" t="s">
        <v>919</v>
      </c>
      <c r="P65" s="32">
        <f t="shared" si="1"/>
        <v>45927</v>
      </c>
      <c r="Q65" s="39">
        <v>45927</v>
      </c>
      <c r="R65" s="32">
        <v>46200</v>
      </c>
      <c r="S65" s="4" t="s">
        <v>654</v>
      </c>
      <c r="T65" s="4">
        <v>1</v>
      </c>
      <c r="U65" s="4" t="s">
        <v>939</v>
      </c>
      <c r="V65" s="32">
        <v>45818</v>
      </c>
      <c r="W65" s="32">
        <v>45818</v>
      </c>
      <c r="X65" s="32">
        <v>46200</v>
      </c>
      <c r="Y65" s="4" t="s">
        <v>654</v>
      </c>
      <c r="Z65" s="4">
        <v>0</v>
      </c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>
        <v>0</v>
      </c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>
        <v>0</v>
      </c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>
        <v>0</v>
      </c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>
        <v>0</v>
      </c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>
        <v>0</v>
      </c>
      <c r="CJ65" s="4"/>
      <c r="CK65" s="4"/>
      <c r="CL65" s="4"/>
      <c r="CM65" s="4"/>
      <c r="CN65" s="4"/>
      <c r="CO65" s="104">
        <v>0</v>
      </c>
      <c r="CP65" s="4"/>
      <c r="CQ65" s="39"/>
      <c r="CR65" s="39"/>
      <c r="CS65" s="39"/>
      <c r="CT65" s="39"/>
      <c r="CU65" s="104">
        <v>1</v>
      </c>
      <c r="CV65" s="4" t="s">
        <v>982</v>
      </c>
      <c r="CW65" s="39">
        <f t="shared" si="22"/>
        <v>45818</v>
      </c>
      <c r="CX65" s="39">
        <v>45818</v>
      </c>
      <c r="CY65" s="33">
        <v>45658</v>
      </c>
      <c r="CZ65" s="34">
        <v>46388</v>
      </c>
      <c r="DA65" s="31" t="s">
        <v>166</v>
      </c>
      <c r="DB65" s="31" t="s">
        <v>167</v>
      </c>
      <c r="DC65" s="32">
        <v>46200</v>
      </c>
      <c r="DD65" s="5" t="s">
        <v>654</v>
      </c>
      <c r="DE65" s="4">
        <v>0</v>
      </c>
      <c r="DF65" s="4"/>
      <c r="DG65" s="4"/>
      <c r="DH65" s="4"/>
      <c r="DI65" s="4"/>
      <c r="DJ65" s="4"/>
      <c r="DK65" s="4">
        <v>0</v>
      </c>
      <c r="DL65" s="4"/>
      <c r="DM65" s="4"/>
      <c r="DN65" s="4"/>
      <c r="DO65" s="4"/>
      <c r="DP65" s="4"/>
      <c r="DQ65" s="31">
        <v>1</v>
      </c>
      <c r="DR65" s="31" t="s">
        <v>994</v>
      </c>
      <c r="DS65" s="39">
        <v>45812</v>
      </c>
      <c r="DT65" s="32">
        <f t="shared" si="4"/>
        <v>45812</v>
      </c>
      <c r="DU65" s="103">
        <v>46052</v>
      </c>
      <c r="DV65" s="5" t="s">
        <v>654</v>
      </c>
      <c r="DW65" s="4">
        <v>0</v>
      </c>
      <c r="DX65" s="4"/>
      <c r="DY65" s="4"/>
      <c r="DZ65" s="4"/>
      <c r="EA65" s="4"/>
      <c r="EB65" s="4"/>
      <c r="EC65" s="4">
        <v>0</v>
      </c>
      <c r="ED65" s="4"/>
      <c r="EE65" s="4"/>
      <c r="EF65" s="4">
        <v>0</v>
      </c>
      <c r="EG65" s="4"/>
      <c r="EH65" s="4"/>
      <c r="EI65" s="4"/>
      <c r="EJ65" s="26"/>
      <c r="EK65" s="26"/>
      <c r="EL65" s="26"/>
    </row>
    <row r="66" spans="1:142" hidden="1">
      <c r="A66" s="11">
        <v>63</v>
      </c>
      <c r="B66" s="109">
        <v>11228</v>
      </c>
      <c r="C66" s="131" t="s">
        <v>1214</v>
      </c>
      <c r="D66" s="3">
        <v>1313088395</v>
      </c>
      <c r="E66" s="3" t="s">
        <v>39</v>
      </c>
      <c r="F66" s="26" t="s">
        <v>214</v>
      </c>
      <c r="G66" s="5" t="s">
        <v>77</v>
      </c>
      <c r="H66" s="4">
        <v>1</v>
      </c>
      <c r="I66" s="4" t="s">
        <v>900</v>
      </c>
      <c r="J66" s="32">
        <v>45161</v>
      </c>
      <c r="K66" s="32">
        <v>45161</v>
      </c>
      <c r="L66" s="32">
        <v>46233</v>
      </c>
      <c r="M66" s="32" t="s">
        <v>654</v>
      </c>
      <c r="N66" s="4">
        <v>1</v>
      </c>
      <c r="O66" s="4" t="s">
        <v>920</v>
      </c>
      <c r="P66" s="32">
        <f t="shared" si="1"/>
        <v>45161</v>
      </c>
      <c r="Q66" s="32">
        <v>45161</v>
      </c>
      <c r="R66" s="32">
        <v>46233</v>
      </c>
      <c r="S66" s="4" t="s">
        <v>654</v>
      </c>
      <c r="T66" s="4">
        <v>1</v>
      </c>
      <c r="U66" s="4" t="s">
        <v>940</v>
      </c>
      <c r="V66" s="32">
        <v>45818</v>
      </c>
      <c r="W66" s="32">
        <v>45818</v>
      </c>
      <c r="X66" s="32">
        <v>46233</v>
      </c>
      <c r="Y66" s="32" t="s">
        <v>654</v>
      </c>
      <c r="Z66" s="5">
        <v>1</v>
      </c>
      <c r="AA66" s="4" t="s">
        <v>948</v>
      </c>
      <c r="AB66" s="32">
        <f t="shared" ref="AB66" si="26">AC66</f>
        <v>45161</v>
      </c>
      <c r="AC66" s="32">
        <v>45161</v>
      </c>
      <c r="AD66" s="5"/>
      <c r="AE66" s="22">
        <v>44856</v>
      </c>
      <c r="AF66" s="22">
        <f>DATE(YEAR(AE66)+5,MONTH(AE66),DAY(AE66))</f>
        <v>46682</v>
      </c>
      <c r="AG66" s="5"/>
      <c r="AH66" s="36" t="s">
        <v>161</v>
      </c>
      <c r="AI66" s="32">
        <v>46233</v>
      </c>
      <c r="AJ66" s="5" t="s">
        <v>654</v>
      </c>
      <c r="AK66" s="4">
        <v>1</v>
      </c>
      <c r="AL66" s="4" t="s">
        <v>952</v>
      </c>
      <c r="AM66" s="32">
        <v>45161</v>
      </c>
      <c r="AN66" s="32">
        <v>45161</v>
      </c>
      <c r="AO66" s="4"/>
      <c r="AP66" s="22">
        <v>44856</v>
      </c>
      <c r="AQ66" s="34">
        <v>46687</v>
      </c>
      <c r="AR66" s="22" t="s">
        <v>163</v>
      </c>
      <c r="AS66" s="22" t="s">
        <v>162</v>
      </c>
      <c r="AT66" s="38">
        <v>46233</v>
      </c>
      <c r="AU66" s="5" t="s">
        <v>654</v>
      </c>
      <c r="AV66" s="5">
        <v>1</v>
      </c>
      <c r="AW66" s="4" t="s">
        <v>956</v>
      </c>
      <c r="AX66" s="32">
        <v>45161</v>
      </c>
      <c r="AY66" s="32">
        <v>45161</v>
      </c>
      <c r="AZ66" s="5"/>
      <c r="BA66" s="22">
        <v>44703</v>
      </c>
      <c r="BB66" s="34">
        <v>46529</v>
      </c>
      <c r="BC66" s="22" t="s">
        <v>163</v>
      </c>
      <c r="BD66" s="34" t="s">
        <v>1210</v>
      </c>
      <c r="BE66" s="38">
        <v>46233</v>
      </c>
      <c r="BF66" s="5" t="s">
        <v>654</v>
      </c>
      <c r="BG66" s="5">
        <v>1</v>
      </c>
      <c r="BH66" s="4" t="s">
        <v>960</v>
      </c>
      <c r="BI66" s="32">
        <v>45161</v>
      </c>
      <c r="BJ66" s="32">
        <v>45161</v>
      </c>
      <c r="BK66" s="5"/>
      <c r="BL66" s="22">
        <v>44703</v>
      </c>
      <c r="BM66" s="34">
        <v>46529</v>
      </c>
      <c r="BN66" s="22" t="s">
        <v>163</v>
      </c>
      <c r="BO66" s="22" t="s">
        <v>164</v>
      </c>
      <c r="BP66" s="38">
        <v>46233</v>
      </c>
      <c r="BQ66" s="5" t="s">
        <v>654</v>
      </c>
      <c r="BR66" s="5">
        <v>1</v>
      </c>
      <c r="BS66" s="4" t="s">
        <v>964</v>
      </c>
      <c r="BT66" s="32">
        <v>45161</v>
      </c>
      <c r="BU66" s="32">
        <v>45161</v>
      </c>
      <c r="BV66" s="5"/>
      <c r="BW66" s="23">
        <v>44483</v>
      </c>
      <c r="BX66" s="34">
        <v>46674</v>
      </c>
      <c r="BY66" s="22" t="s">
        <v>163</v>
      </c>
      <c r="BZ66" s="23" t="s">
        <v>165</v>
      </c>
      <c r="CA66" s="38">
        <v>46233</v>
      </c>
      <c r="CB66" s="5" t="s">
        <v>654</v>
      </c>
      <c r="CC66" s="23"/>
      <c r="CD66" s="23"/>
      <c r="CE66" s="23"/>
      <c r="CF66" s="23"/>
      <c r="CG66" s="23"/>
      <c r="CH66" s="23"/>
      <c r="CI66" s="31">
        <v>1</v>
      </c>
      <c r="CJ66" s="31" t="s">
        <v>968</v>
      </c>
      <c r="CK66" s="32">
        <v>45577</v>
      </c>
      <c r="CL66" s="32">
        <v>45577</v>
      </c>
      <c r="CM66" s="38">
        <v>46233</v>
      </c>
      <c r="CN66" s="5" t="s">
        <v>654</v>
      </c>
      <c r="CO66" s="104">
        <v>1</v>
      </c>
      <c r="CP66" s="4" t="s">
        <v>976</v>
      </c>
      <c r="CQ66" s="39">
        <v>45732</v>
      </c>
      <c r="CR66" s="39">
        <v>45732</v>
      </c>
      <c r="CS66" s="38">
        <v>46233</v>
      </c>
      <c r="CT66" s="5" t="s">
        <v>654</v>
      </c>
      <c r="CU66" s="104">
        <v>0</v>
      </c>
      <c r="CV66" s="4"/>
      <c r="CW66" s="39"/>
      <c r="CX66" s="39"/>
      <c r="CY66" s="33"/>
      <c r="CZ66" s="34"/>
      <c r="DA66" s="31"/>
      <c r="DB66" s="31"/>
      <c r="DC66" s="31"/>
      <c r="DD66" s="31"/>
      <c r="DE66" s="4">
        <v>0</v>
      </c>
      <c r="DF66" s="4"/>
      <c r="DG66" s="4"/>
      <c r="DH66" s="4"/>
      <c r="DI66" s="4"/>
      <c r="DJ66" s="4"/>
      <c r="DK66" s="4">
        <v>0</v>
      </c>
      <c r="DL66" s="4"/>
      <c r="DM66" s="4"/>
      <c r="DN66" s="4"/>
      <c r="DO66" s="4"/>
      <c r="DP66" s="4"/>
      <c r="DQ66" s="31">
        <v>1</v>
      </c>
      <c r="DR66" s="31" t="s">
        <v>995</v>
      </c>
      <c r="DS66" s="39">
        <v>45812</v>
      </c>
      <c r="DT66" s="32">
        <f t="shared" si="4"/>
        <v>45812</v>
      </c>
      <c r="DU66" s="38">
        <v>46233</v>
      </c>
      <c r="DV66" s="5" t="s">
        <v>654</v>
      </c>
      <c r="DW66" s="4">
        <v>0</v>
      </c>
      <c r="DX66" s="4"/>
      <c r="DY66" s="4"/>
      <c r="DZ66" s="4"/>
      <c r="EA66" s="4"/>
      <c r="EB66" s="4"/>
      <c r="EC66" s="4">
        <v>0</v>
      </c>
      <c r="ED66" s="4"/>
      <c r="EE66" s="4"/>
      <c r="EF66" s="4">
        <v>0</v>
      </c>
      <c r="EG66" s="4"/>
      <c r="EH66" s="4"/>
      <c r="EI66" s="4"/>
      <c r="EJ66" s="26"/>
      <c r="EK66" s="26"/>
      <c r="EL66" s="26"/>
    </row>
    <row r="67" spans="1:142" hidden="1">
      <c r="A67" s="11">
        <v>64</v>
      </c>
      <c r="B67" s="109">
        <v>11233</v>
      </c>
      <c r="C67" s="5" t="s">
        <v>91</v>
      </c>
      <c r="D67" s="4">
        <v>1313438523</v>
      </c>
      <c r="E67" s="3" t="s">
        <v>35</v>
      </c>
      <c r="F67" s="26" t="s">
        <v>171</v>
      </c>
      <c r="G67" s="5" t="s">
        <v>77</v>
      </c>
      <c r="H67" s="4">
        <v>1</v>
      </c>
      <c r="I67" s="4" t="s">
        <v>901</v>
      </c>
      <c r="J67" s="38">
        <f t="shared" ref="J67:J69" si="27">K67</f>
        <v>45498</v>
      </c>
      <c r="K67" s="38">
        <v>45498</v>
      </c>
      <c r="L67" s="32">
        <v>46200</v>
      </c>
      <c r="M67" s="32" t="s">
        <v>405</v>
      </c>
      <c r="N67" s="4">
        <v>1</v>
      </c>
      <c r="O67" s="4" t="s">
        <v>921</v>
      </c>
      <c r="P67" s="32">
        <f t="shared" si="1"/>
        <v>45927</v>
      </c>
      <c r="Q67" s="39">
        <v>45927</v>
      </c>
      <c r="R67" s="32">
        <v>46200</v>
      </c>
      <c r="S67" s="4" t="s">
        <v>654</v>
      </c>
      <c r="T67" s="4">
        <v>1</v>
      </c>
      <c r="U67" s="4" t="s">
        <v>941</v>
      </c>
      <c r="V67" s="32">
        <v>45818</v>
      </c>
      <c r="W67" s="32">
        <v>45818</v>
      </c>
      <c r="X67" s="32">
        <v>46200</v>
      </c>
      <c r="Y67" s="4" t="s">
        <v>654</v>
      </c>
      <c r="Z67" s="4">
        <v>0</v>
      </c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>
        <v>0</v>
      </c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>
        <v>0</v>
      </c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>
        <v>0</v>
      </c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>
        <v>0</v>
      </c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>
        <v>0</v>
      </c>
      <c r="CJ67" s="4"/>
      <c r="CK67" s="4"/>
      <c r="CL67" s="4"/>
      <c r="CM67" s="4"/>
      <c r="CN67" s="4"/>
      <c r="CO67" s="104">
        <v>0</v>
      </c>
      <c r="CP67" s="4"/>
      <c r="CQ67" s="39"/>
      <c r="CR67" s="39"/>
      <c r="CS67" s="39"/>
      <c r="CT67" s="39"/>
      <c r="CU67" s="104">
        <v>0</v>
      </c>
      <c r="CV67" s="4"/>
      <c r="CW67" s="39"/>
      <c r="CX67" s="39"/>
      <c r="CY67" s="33"/>
      <c r="CZ67" s="34"/>
      <c r="DA67" s="31"/>
      <c r="DB67" s="31"/>
      <c r="DC67" s="31"/>
      <c r="DD67" s="31"/>
      <c r="DE67" s="4">
        <v>1</v>
      </c>
      <c r="DF67" s="4" t="s">
        <v>985</v>
      </c>
      <c r="DG67" s="39">
        <v>45732</v>
      </c>
      <c r="DH67" s="32">
        <f>DG67</f>
        <v>45732</v>
      </c>
      <c r="DI67" s="103">
        <v>46052</v>
      </c>
      <c r="DJ67" s="5" t="s">
        <v>654</v>
      </c>
      <c r="DK67" s="4">
        <v>0</v>
      </c>
      <c r="DL67" s="4"/>
      <c r="DM67" s="4"/>
      <c r="DN67" s="4"/>
      <c r="DO67" s="4"/>
      <c r="DP67" s="4"/>
      <c r="DQ67" s="31">
        <v>1</v>
      </c>
      <c r="DR67" s="31" t="s">
        <v>996</v>
      </c>
      <c r="DS67" s="39">
        <v>45812</v>
      </c>
      <c r="DT67" s="32">
        <f t="shared" si="4"/>
        <v>45812</v>
      </c>
      <c r="DU67" s="103">
        <v>46052</v>
      </c>
      <c r="DV67" s="5" t="s">
        <v>654</v>
      </c>
      <c r="DW67" s="4">
        <v>0</v>
      </c>
      <c r="DX67" s="4"/>
      <c r="DY67" s="4"/>
      <c r="DZ67" s="4"/>
      <c r="EA67" s="4"/>
      <c r="EB67" s="4"/>
      <c r="EC67" s="4">
        <v>0</v>
      </c>
      <c r="ED67" s="4"/>
      <c r="EE67" s="4"/>
      <c r="EF67" s="4">
        <v>0</v>
      </c>
      <c r="EG67" s="4"/>
      <c r="EH67" s="4"/>
      <c r="EI67" s="4"/>
      <c r="EJ67" s="26"/>
      <c r="EK67" s="26"/>
      <c r="EL67" s="26"/>
    </row>
    <row r="68" spans="1:142" hidden="1">
      <c r="A68" s="11">
        <v>65</v>
      </c>
      <c r="B68" s="109">
        <v>11256</v>
      </c>
      <c r="C68" s="5" t="s">
        <v>92</v>
      </c>
      <c r="D68" s="4">
        <v>1313088396</v>
      </c>
      <c r="E68" s="5" t="s">
        <v>40</v>
      </c>
      <c r="F68" s="26" t="s">
        <v>171</v>
      </c>
      <c r="G68" s="5" t="s">
        <v>77</v>
      </c>
      <c r="H68" s="4">
        <v>1</v>
      </c>
      <c r="I68" s="4" t="s">
        <v>902</v>
      </c>
      <c r="J68" s="38">
        <f t="shared" si="27"/>
        <v>45498</v>
      </c>
      <c r="K68" s="38">
        <v>45498</v>
      </c>
      <c r="L68" s="32">
        <v>46200</v>
      </c>
      <c r="M68" s="32" t="s">
        <v>405</v>
      </c>
      <c r="N68" s="4">
        <v>1</v>
      </c>
      <c r="O68" s="4" t="s">
        <v>922</v>
      </c>
      <c r="P68" s="32">
        <f t="shared" ref="P68:P131" si="28">Q68</f>
        <v>45927</v>
      </c>
      <c r="Q68" s="39">
        <v>45927</v>
      </c>
      <c r="R68" s="32">
        <v>46200</v>
      </c>
      <c r="S68" s="4" t="s">
        <v>654</v>
      </c>
      <c r="T68" s="4">
        <v>1</v>
      </c>
      <c r="U68" s="4" t="s">
        <v>942</v>
      </c>
      <c r="V68" s="32">
        <v>45818</v>
      </c>
      <c r="W68" s="32">
        <v>45818</v>
      </c>
      <c r="X68" s="32">
        <v>46200</v>
      </c>
      <c r="Y68" s="4" t="s">
        <v>654</v>
      </c>
      <c r="Z68" s="4">
        <v>0</v>
      </c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>
        <v>0</v>
      </c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>
        <v>0</v>
      </c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>
        <v>0</v>
      </c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>
        <v>0</v>
      </c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>
        <v>0</v>
      </c>
      <c r="CJ68" s="4"/>
      <c r="CK68" s="4"/>
      <c r="CL68" s="4"/>
      <c r="CM68" s="4"/>
      <c r="CN68" s="4"/>
      <c r="CO68" s="104">
        <v>0</v>
      </c>
      <c r="CP68" s="4"/>
      <c r="CQ68" s="39"/>
      <c r="CR68" s="39"/>
      <c r="CS68" s="39"/>
      <c r="CT68" s="39"/>
      <c r="CU68" s="4">
        <v>0</v>
      </c>
      <c r="CV68" s="4"/>
      <c r="CW68" s="39"/>
      <c r="CX68" s="39"/>
      <c r="CY68" s="33"/>
      <c r="CZ68" s="34"/>
      <c r="DA68" s="31"/>
      <c r="DB68" s="31"/>
      <c r="DC68" s="31"/>
      <c r="DD68" s="31"/>
      <c r="DE68" s="4">
        <v>0</v>
      </c>
      <c r="DF68" s="4"/>
      <c r="DG68" s="4"/>
      <c r="DH68" s="4"/>
      <c r="DI68" s="4"/>
      <c r="DJ68" s="4"/>
      <c r="DK68" s="4">
        <v>0</v>
      </c>
      <c r="DL68" s="4"/>
      <c r="DM68" s="4"/>
      <c r="DN68" s="4"/>
      <c r="DO68" s="4"/>
      <c r="DP68" s="4"/>
      <c r="DQ68" s="31">
        <v>0</v>
      </c>
      <c r="DR68" s="31"/>
      <c r="DS68" s="39"/>
      <c r="DT68" s="32"/>
      <c r="DU68" s="32"/>
      <c r="DV68" s="32"/>
      <c r="DW68" s="4">
        <v>0</v>
      </c>
      <c r="DX68" s="4"/>
      <c r="DY68" s="39"/>
      <c r="DZ68" s="32"/>
      <c r="EA68" s="32"/>
      <c r="EB68" s="32"/>
      <c r="EC68" s="4">
        <v>0</v>
      </c>
      <c r="ED68" s="4"/>
      <c r="EE68" s="4"/>
      <c r="EF68" s="4">
        <v>0</v>
      </c>
      <c r="EG68" s="4"/>
      <c r="EH68" s="4"/>
      <c r="EI68" s="4"/>
      <c r="EJ68" s="26"/>
      <c r="EK68" s="26"/>
      <c r="EL68" s="26"/>
    </row>
    <row r="69" spans="1:142" hidden="1">
      <c r="A69" s="11">
        <v>66</v>
      </c>
      <c r="B69" s="109">
        <v>11509</v>
      </c>
      <c r="C69" s="7" t="s">
        <v>93</v>
      </c>
      <c r="D69" s="6">
        <v>1313088351</v>
      </c>
      <c r="E69" s="4" t="s">
        <v>33</v>
      </c>
      <c r="F69" s="26" t="s">
        <v>171</v>
      </c>
      <c r="G69" s="5" t="s">
        <v>77</v>
      </c>
      <c r="H69" s="4">
        <v>1</v>
      </c>
      <c r="I69" s="4" t="s">
        <v>903</v>
      </c>
      <c r="J69" s="38">
        <f t="shared" si="27"/>
        <v>45498</v>
      </c>
      <c r="K69" s="38">
        <v>45498</v>
      </c>
      <c r="L69" s="32">
        <v>46200</v>
      </c>
      <c r="M69" s="32" t="s">
        <v>405</v>
      </c>
      <c r="N69" s="4">
        <v>1</v>
      </c>
      <c r="O69" s="4" t="s">
        <v>923</v>
      </c>
      <c r="P69" s="32">
        <f t="shared" si="28"/>
        <v>45927</v>
      </c>
      <c r="Q69" s="39">
        <v>45927</v>
      </c>
      <c r="R69" s="32">
        <v>46200</v>
      </c>
      <c r="S69" s="4" t="s">
        <v>654</v>
      </c>
      <c r="T69" s="4">
        <v>1</v>
      </c>
      <c r="U69" s="4" t="s">
        <v>943</v>
      </c>
      <c r="V69" s="32">
        <v>45818</v>
      </c>
      <c r="W69" s="32">
        <v>45818</v>
      </c>
      <c r="X69" s="32">
        <v>46200</v>
      </c>
      <c r="Y69" s="32" t="s">
        <v>405</v>
      </c>
      <c r="Z69" s="4">
        <v>0</v>
      </c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>
        <v>0</v>
      </c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>
        <v>0</v>
      </c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>
        <v>0</v>
      </c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>
        <v>0</v>
      </c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>
        <v>0</v>
      </c>
      <c r="CJ69" s="4"/>
      <c r="CK69" s="4"/>
      <c r="CL69" s="4"/>
      <c r="CM69" s="4"/>
      <c r="CN69" s="4"/>
      <c r="CO69" s="104">
        <v>0</v>
      </c>
      <c r="CP69" s="4"/>
      <c r="CQ69" s="39"/>
      <c r="CR69" s="39"/>
      <c r="CS69" s="39"/>
      <c r="CT69" s="39"/>
      <c r="CU69" s="4">
        <v>0</v>
      </c>
      <c r="CV69" s="4"/>
      <c r="CW69" s="39"/>
      <c r="CX69" s="39"/>
      <c r="CY69" s="33"/>
      <c r="CZ69" s="34"/>
      <c r="DA69" s="31"/>
      <c r="DB69" s="31"/>
      <c r="DC69" s="31"/>
      <c r="DD69" s="31"/>
      <c r="DE69" s="4">
        <v>0</v>
      </c>
      <c r="DF69" s="4"/>
      <c r="DG69" s="4"/>
      <c r="DH69" s="4"/>
      <c r="DI69" s="4"/>
      <c r="DJ69" s="4"/>
      <c r="DK69" s="4">
        <v>0</v>
      </c>
      <c r="DL69" s="4"/>
      <c r="DM69" s="4"/>
      <c r="DN69" s="4"/>
      <c r="DO69" s="4"/>
      <c r="DP69" s="4"/>
      <c r="DQ69" s="31">
        <v>0</v>
      </c>
      <c r="DR69" s="31"/>
      <c r="DS69" s="39"/>
      <c r="DT69" s="32"/>
      <c r="DU69" s="32"/>
      <c r="DV69" s="32"/>
      <c r="DW69" s="4">
        <v>0</v>
      </c>
      <c r="DX69" s="4"/>
      <c r="DY69" s="4"/>
      <c r="DZ69" s="4"/>
      <c r="EA69" s="4"/>
      <c r="EB69" s="4"/>
      <c r="EC69" s="4">
        <v>0</v>
      </c>
      <c r="ED69" s="4"/>
      <c r="EE69" s="4"/>
      <c r="EF69" s="4">
        <v>0</v>
      </c>
      <c r="EG69" s="4"/>
      <c r="EH69" s="4"/>
      <c r="EI69" s="4"/>
      <c r="EJ69" s="26"/>
      <c r="EK69" s="26"/>
      <c r="EL69" s="26"/>
    </row>
    <row r="70" spans="1:142" hidden="1">
      <c r="A70" s="11">
        <v>67</v>
      </c>
      <c r="B70" s="110">
        <v>11902</v>
      </c>
      <c r="C70" s="131" t="s">
        <v>340</v>
      </c>
      <c r="D70" s="87">
        <v>1313438687</v>
      </c>
      <c r="E70" s="3" t="s">
        <v>30</v>
      </c>
      <c r="F70" s="26" t="s">
        <v>214</v>
      </c>
      <c r="G70" s="5" t="s">
        <v>77</v>
      </c>
      <c r="H70" s="4">
        <v>1</v>
      </c>
      <c r="I70" s="4" t="s">
        <v>904</v>
      </c>
      <c r="J70" s="32">
        <v>45161</v>
      </c>
      <c r="K70" s="32">
        <v>45161</v>
      </c>
      <c r="L70" s="32">
        <v>46233</v>
      </c>
      <c r="M70" s="32" t="s">
        <v>654</v>
      </c>
      <c r="N70" s="4">
        <v>1</v>
      </c>
      <c r="O70" s="4" t="s">
        <v>924</v>
      </c>
      <c r="P70" s="32">
        <f t="shared" si="28"/>
        <v>45161</v>
      </c>
      <c r="Q70" s="32">
        <v>45161</v>
      </c>
      <c r="R70" s="32">
        <v>46233</v>
      </c>
      <c r="S70" s="4" t="s">
        <v>654</v>
      </c>
      <c r="T70" s="4">
        <v>1</v>
      </c>
      <c r="U70" s="4" t="s">
        <v>944</v>
      </c>
      <c r="V70" s="32">
        <v>45818</v>
      </c>
      <c r="W70" s="32">
        <v>45818</v>
      </c>
      <c r="X70" s="32">
        <v>46233</v>
      </c>
      <c r="Y70" s="32" t="s">
        <v>654</v>
      </c>
      <c r="Z70" s="5">
        <v>1</v>
      </c>
      <c r="AA70" s="4" t="s">
        <v>949</v>
      </c>
      <c r="AB70" s="32">
        <f t="shared" ref="AB70" si="29">AC70</f>
        <v>45161</v>
      </c>
      <c r="AC70" s="32">
        <v>45161</v>
      </c>
      <c r="AD70" s="5"/>
      <c r="AE70" s="22">
        <v>44887</v>
      </c>
      <c r="AF70" s="22">
        <f>DATE(YEAR(AE70)+5,MONTH(AE70),DAY(AE70))</f>
        <v>46713</v>
      </c>
      <c r="AG70" s="5"/>
      <c r="AH70" s="36" t="s">
        <v>161</v>
      </c>
      <c r="AI70" s="32">
        <v>46233</v>
      </c>
      <c r="AJ70" s="5" t="s">
        <v>654</v>
      </c>
      <c r="AK70" s="4">
        <v>1</v>
      </c>
      <c r="AL70" s="4" t="s">
        <v>953</v>
      </c>
      <c r="AM70" s="32">
        <v>45161</v>
      </c>
      <c r="AN70" s="32">
        <v>45161</v>
      </c>
      <c r="AO70" s="4"/>
      <c r="AP70" s="22">
        <v>44856</v>
      </c>
      <c r="AQ70" s="34">
        <v>46687</v>
      </c>
      <c r="AR70" s="22" t="s">
        <v>163</v>
      </c>
      <c r="AS70" s="22" t="s">
        <v>162</v>
      </c>
      <c r="AT70" s="38">
        <v>46233</v>
      </c>
      <c r="AU70" s="5" t="s">
        <v>654</v>
      </c>
      <c r="AV70" s="5">
        <v>1</v>
      </c>
      <c r="AW70" s="4" t="s">
        <v>957</v>
      </c>
      <c r="AX70" s="32">
        <v>45161</v>
      </c>
      <c r="AY70" s="32">
        <v>45161</v>
      </c>
      <c r="AZ70" s="5"/>
      <c r="BA70" s="22">
        <v>44703</v>
      </c>
      <c r="BB70" s="34">
        <v>46529</v>
      </c>
      <c r="BC70" s="22" t="s">
        <v>163</v>
      </c>
      <c r="BD70" s="34" t="s">
        <v>1210</v>
      </c>
      <c r="BE70" s="38">
        <v>46233</v>
      </c>
      <c r="BF70" s="5" t="s">
        <v>654</v>
      </c>
      <c r="BG70" s="5">
        <v>1</v>
      </c>
      <c r="BH70" s="4" t="s">
        <v>961</v>
      </c>
      <c r="BI70" s="32">
        <v>45161</v>
      </c>
      <c r="BJ70" s="32">
        <v>45161</v>
      </c>
      <c r="BK70" s="5"/>
      <c r="BL70" s="22">
        <v>44703</v>
      </c>
      <c r="BM70" s="34">
        <v>46529</v>
      </c>
      <c r="BN70" s="22" t="s">
        <v>163</v>
      </c>
      <c r="BO70" s="22" t="s">
        <v>164</v>
      </c>
      <c r="BP70" s="38">
        <v>46233</v>
      </c>
      <c r="BQ70" s="5" t="s">
        <v>654</v>
      </c>
      <c r="BR70" s="5">
        <v>1</v>
      </c>
      <c r="BS70" s="4" t="s">
        <v>965</v>
      </c>
      <c r="BT70" s="32">
        <v>45161</v>
      </c>
      <c r="BU70" s="32">
        <v>45161</v>
      </c>
      <c r="BV70" s="5"/>
      <c r="BW70" s="23">
        <v>44483</v>
      </c>
      <c r="BX70" s="34">
        <v>46674</v>
      </c>
      <c r="BY70" s="22" t="s">
        <v>163</v>
      </c>
      <c r="BZ70" s="23" t="s">
        <v>165</v>
      </c>
      <c r="CA70" s="38">
        <v>46233</v>
      </c>
      <c r="CB70" s="5" t="s">
        <v>654</v>
      </c>
      <c r="CC70" s="23"/>
      <c r="CD70" s="23"/>
      <c r="CE70" s="23"/>
      <c r="CF70" s="23"/>
      <c r="CG70" s="23"/>
      <c r="CH70" s="23"/>
      <c r="CI70" s="31">
        <v>1</v>
      </c>
      <c r="CJ70" s="31" t="s">
        <v>969</v>
      </c>
      <c r="CK70" s="32">
        <v>45577</v>
      </c>
      <c r="CL70" s="32">
        <v>45577</v>
      </c>
      <c r="CM70" s="38">
        <v>46233</v>
      </c>
      <c r="CN70" s="5" t="s">
        <v>654</v>
      </c>
      <c r="CO70" s="104">
        <v>1</v>
      </c>
      <c r="CP70" s="4" t="s">
        <v>977</v>
      </c>
      <c r="CQ70" s="39">
        <v>45732</v>
      </c>
      <c r="CR70" s="39">
        <v>45732</v>
      </c>
      <c r="CS70" s="38">
        <v>46233</v>
      </c>
      <c r="CT70" s="5" t="s">
        <v>654</v>
      </c>
      <c r="CU70" s="4">
        <v>0</v>
      </c>
      <c r="CV70" s="4"/>
      <c r="CW70" s="39"/>
      <c r="CX70" s="39"/>
      <c r="CY70" s="33"/>
      <c r="CZ70" s="34"/>
      <c r="DA70" s="31"/>
      <c r="DB70" s="31"/>
      <c r="DC70" s="31"/>
      <c r="DD70" s="31"/>
      <c r="DE70" s="4">
        <v>1</v>
      </c>
      <c r="DF70" s="4" t="s">
        <v>986</v>
      </c>
      <c r="DG70" s="39">
        <v>45732</v>
      </c>
      <c r="DH70" s="32">
        <f>DG70</f>
        <v>45732</v>
      </c>
      <c r="DI70" s="38">
        <v>46233</v>
      </c>
      <c r="DJ70" s="5" t="s">
        <v>654</v>
      </c>
      <c r="DK70" s="4">
        <v>0</v>
      </c>
      <c r="DL70" s="4"/>
      <c r="DM70" s="4"/>
      <c r="DN70" s="4"/>
      <c r="DO70" s="4"/>
      <c r="DP70" s="4"/>
      <c r="DQ70" s="31">
        <v>1</v>
      </c>
      <c r="DR70" s="31" t="s">
        <v>997</v>
      </c>
      <c r="DS70" s="39">
        <v>45812</v>
      </c>
      <c r="DT70" s="32">
        <f t="shared" ref="DT70:DT131" si="30">DS70</f>
        <v>45812</v>
      </c>
      <c r="DU70" s="38">
        <v>46233</v>
      </c>
      <c r="DV70" s="5" t="s">
        <v>654</v>
      </c>
      <c r="DW70" s="4">
        <v>0</v>
      </c>
      <c r="DX70" s="4"/>
      <c r="DY70" s="4"/>
      <c r="DZ70" s="4"/>
      <c r="EA70" s="4"/>
      <c r="EB70" s="4"/>
      <c r="EC70" s="4">
        <v>0</v>
      </c>
      <c r="ED70" s="4"/>
      <c r="EE70" s="4"/>
      <c r="EF70" s="4">
        <v>0</v>
      </c>
      <c r="EG70" s="4"/>
      <c r="EH70" s="4"/>
      <c r="EI70" s="4"/>
      <c r="EJ70" s="26"/>
      <c r="EK70" s="26"/>
      <c r="EL70" s="26"/>
    </row>
    <row r="71" spans="1:142" hidden="1">
      <c r="A71" s="11">
        <v>68</v>
      </c>
      <c r="B71" s="110">
        <v>11764</v>
      </c>
      <c r="C71" s="5" t="s">
        <v>219</v>
      </c>
      <c r="D71" s="3">
        <v>1313438662</v>
      </c>
      <c r="E71" s="3" t="s">
        <v>41</v>
      </c>
      <c r="F71" s="26" t="s">
        <v>171</v>
      </c>
      <c r="G71" s="5" t="s">
        <v>77</v>
      </c>
      <c r="H71" s="4">
        <v>1</v>
      </c>
      <c r="I71" s="4" t="s">
        <v>905</v>
      </c>
      <c r="J71" s="38">
        <f t="shared" ref="J71:J73" si="31">K71</f>
        <v>45498</v>
      </c>
      <c r="K71" s="38">
        <v>45498</v>
      </c>
      <c r="L71" s="32">
        <v>46200</v>
      </c>
      <c r="M71" s="4" t="s">
        <v>654</v>
      </c>
      <c r="N71" s="4">
        <v>1</v>
      </c>
      <c r="O71" s="4" t="s">
        <v>925</v>
      </c>
      <c r="P71" s="32">
        <f t="shared" si="28"/>
        <v>45925</v>
      </c>
      <c r="Q71" s="39">
        <v>45925</v>
      </c>
      <c r="R71" s="32">
        <v>46200</v>
      </c>
      <c r="S71" s="4" t="s">
        <v>654</v>
      </c>
      <c r="T71" s="4">
        <v>1</v>
      </c>
      <c r="U71" s="4" t="s">
        <v>945</v>
      </c>
      <c r="V71" s="32">
        <v>45818</v>
      </c>
      <c r="W71" s="32">
        <v>45818</v>
      </c>
      <c r="X71" s="32">
        <v>46200</v>
      </c>
      <c r="Y71" s="32" t="s">
        <v>405</v>
      </c>
      <c r="Z71" s="5">
        <v>0</v>
      </c>
      <c r="AA71" s="5"/>
      <c r="AB71" s="5"/>
      <c r="AC71" s="39"/>
      <c r="AD71" s="5"/>
      <c r="AE71" s="22"/>
      <c r="AF71" s="22"/>
      <c r="AG71" s="5"/>
      <c r="AH71" s="5"/>
      <c r="AI71" s="5"/>
      <c r="AJ71" s="5"/>
      <c r="AK71" s="4">
        <v>0</v>
      </c>
      <c r="AL71" s="4"/>
      <c r="AM71" s="4"/>
      <c r="AN71" s="39"/>
      <c r="AO71" s="4"/>
      <c r="AP71" s="22"/>
      <c r="AQ71" s="22"/>
      <c r="AR71" s="22"/>
      <c r="AS71" s="22"/>
      <c r="AT71" s="22"/>
      <c r="AU71" s="22"/>
      <c r="AV71" s="5">
        <v>0</v>
      </c>
      <c r="AW71" s="5"/>
      <c r="AX71" s="5"/>
      <c r="AY71" s="5"/>
      <c r="AZ71" s="5"/>
      <c r="BA71" s="22"/>
      <c r="BB71" s="22"/>
      <c r="BC71" s="22"/>
      <c r="BD71" s="22"/>
      <c r="BE71" s="22"/>
      <c r="BF71" s="22"/>
      <c r="BG71" s="5">
        <v>0</v>
      </c>
      <c r="BH71" s="5"/>
      <c r="BI71" s="5"/>
      <c r="BJ71" s="5"/>
      <c r="BK71" s="5"/>
      <c r="BL71" s="22"/>
      <c r="BM71" s="22"/>
      <c r="BN71" s="22"/>
      <c r="BO71" s="22"/>
      <c r="BP71" s="22"/>
      <c r="BQ71" s="22"/>
      <c r="BR71" s="5">
        <v>0</v>
      </c>
      <c r="BS71" s="5"/>
      <c r="BT71" s="5"/>
      <c r="BU71" s="5"/>
      <c r="BV71" s="5"/>
      <c r="BW71" s="23"/>
      <c r="BX71" s="22"/>
      <c r="BY71" s="22"/>
      <c r="BZ71" s="23"/>
      <c r="CA71" s="23"/>
      <c r="CB71" s="23"/>
      <c r="CC71" s="23"/>
      <c r="CD71" s="23"/>
      <c r="CE71" s="23"/>
      <c r="CF71" s="23"/>
      <c r="CG71" s="23"/>
      <c r="CH71" s="23"/>
      <c r="CI71" s="4">
        <v>0</v>
      </c>
      <c r="CJ71" s="4"/>
      <c r="CK71" s="4"/>
      <c r="CL71" s="4"/>
      <c r="CM71" s="4"/>
      <c r="CN71" s="4"/>
      <c r="CO71" s="104">
        <v>0</v>
      </c>
      <c r="CP71" s="4"/>
      <c r="CQ71" s="39"/>
      <c r="CR71" s="39"/>
      <c r="CS71" s="39"/>
      <c r="CT71" s="39"/>
      <c r="CU71" s="4">
        <v>0</v>
      </c>
      <c r="CV71" s="4"/>
      <c r="CW71" s="39"/>
      <c r="CX71" s="39"/>
      <c r="CY71" s="33"/>
      <c r="CZ71" s="34"/>
      <c r="DA71" s="31"/>
      <c r="DB71" s="31"/>
      <c r="DC71" s="31"/>
      <c r="DD71" s="31"/>
      <c r="DE71" s="4">
        <v>0</v>
      </c>
      <c r="DF71" s="4"/>
      <c r="DG71" s="4"/>
      <c r="DH71" s="4"/>
      <c r="DI71" s="4"/>
      <c r="DJ71" s="4"/>
      <c r="DK71" s="4">
        <v>0</v>
      </c>
      <c r="DL71" s="4"/>
      <c r="DM71" s="4"/>
      <c r="DN71" s="4"/>
      <c r="DO71" s="4"/>
      <c r="DP71" s="4"/>
      <c r="DQ71" s="31">
        <v>1</v>
      </c>
      <c r="DR71" s="31" t="s">
        <v>998</v>
      </c>
      <c r="DS71" s="39">
        <v>45812</v>
      </c>
      <c r="DT71" s="32">
        <f t="shared" si="30"/>
        <v>45812</v>
      </c>
      <c r="DU71" s="103">
        <v>46052</v>
      </c>
      <c r="DV71" s="5" t="s">
        <v>654</v>
      </c>
      <c r="DW71" s="4">
        <v>0</v>
      </c>
      <c r="DX71" s="4"/>
      <c r="DY71" s="4"/>
      <c r="DZ71" s="4"/>
      <c r="EA71" s="4"/>
      <c r="EB71" s="4"/>
      <c r="EC71" s="4">
        <v>0</v>
      </c>
      <c r="ED71" s="4"/>
      <c r="EE71" s="4"/>
      <c r="EF71" s="4">
        <v>0</v>
      </c>
      <c r="EG71" s="4"/>
      <c r="EH71" s="4"/>
      <c r="EI71" s="4"/>
      <c r="EJ71" s="26"/>
      <c r="EK71" s="26"/>
      <c r="EL71" s="26"/>
    </row>
    <row r="72" spans="1:142" hidden="1">
      <c r="A72" s="11">
        <v>69</v>
      </c>
      <c r="B72" s="108">
        <v>11214</v>
      </c>
      <c r="C72" s="84" t="s">
        <v>383</v>
      </c>
      <c r="D72" s="86">
        <v>1313088457</v>
      </c>
      <c r="E72" s="5" t="s">
        <v>42</v>
      </c>
      <c r="F72" s="26" t="s">
        <v>171</v>
      </c>
      <c r="G72" s="5" t="s">
        <v>94</v>
      </c>
      <c r="H72" s="4">
        <v>1</v>
      </c>
      <c r="I72" s="4" t="s">
        <v>1003</v>
      </c>
      <c r="J72" s="38">
        <f t="shared" si="31"/>
        <v>45498</v>
      </c>
      <c r="K72" s="38">
        <v>45498</v>
      </c>
      <c r="L72" s="32">
        <v>46200</v>
      </c>
      <c r="M72" s="4" t="s">
        <v>404</v>
      </c>
      <c r="N72" s="4">
        <v>1</v>
      </c>
      <c r="O72" s="4" t="s">
        <v>1017</v>
      </c>
      <c r="P72" s="32">
        <f t="shared" si="28"/>
        <v>45925</v>
      </c>
      <c r="Q72" s="39">
        <v>45925</v>
      </c>
      <c r="R72" s="32">
        <v>46200</v>
      </c>
      <c r="S72" s="41" t="s">
        <v>404</v>
      </c>
      <c r="T72" s="4">
        <v>1</v>
      </c>
      <c r="U72" s="4" t="s">
        <v>1034</v>
      </c>
      <c r="V72" s="32">
        <v>45818</v>
      </c>
      <c r="W72" s="32">
        <v>45818</v>
      </c>
      <c r="X72" s="32">
        <v>46200</v>
      </c>
      <c r="Y72" s="32" t="s">
        <v>404</v>
      </c>
      <c r="Z72" s="4">
        <v>0</v>
      </c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>
        <v>0</v>
      </c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>
        <v>0</v>
      </c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>
        <v>0</v>
      </c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>
        <v>0</v>
      </c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>
        <v>0</v>
      </c>
      <c r="CJ72" s="4"/>
      <c r="CK72" s="4"/>
      <c r="CL72" s="4"/>
      <c r="CM72" s="4"/>
      <c r="CN72" s="4"/>
      <c r="CO72" s="4">
        <v>1</v>
      </c>
      <c r="CP72" s="4" t="s">
        <v>1069</v>
      </c>
      <c r="CQ72" s="39">
        <v>45732</v>
      </c>
      <c r="CR72" s="39">
        <v>45732</v>
      </c>
      <c r="CS72" s="32">
        <v>46200</v>
      </c>
      <c r="CT72" s="41" t="s">
        <v>404</v>
      </c>
      <c r="CU72" s="41">
        <v>0</v>
      </c>
      <c r="CV72" s="4"/>
      <c r="CW72" s="39"/>
      <c r="CX72" s="39"/>
      <c r="CY72" s="33"/>
      <c r="CZ72" s="34"/>
      <c r="DA72" s="31"/>
      <c r="DB72" s="31"/>
      <c r="DC72" s="26"/>
      <c r="DD72" s="26"/>
      <c r="DE72" s="4">
        <v>0</v>
      </c>
      <c r="DF72" s="4"/>
      <c r="DG72" s="4"/>
      <c r="DH72" s="4"/>
      <c r="DI72" s="4"/>
      <c r="DJ72" s="4"/>
      <c r="DK72" s="4">
        <v>0</v>
      </c>
      <c r="DL72" s="4"/>
      <c r="DM72" s="4"/>
      <c r="DN72" s="4"/>
      <c r="DO72" s="4"/>
      <c r="DP72" s="4"/>
      <c r="DQ72" s="41">
        <v>0</v>
      </c>
      <c r="DR72" s="31"/>
      <c r="DS72" s="39"/>
      <c r="DT72" s="32"/>
      <c r="DU72" s="32"/>
      <c r="DV72" s="26"/>
      <c r="DW72" s="11">
        <v>0</v>
      </c>
      <c r="DX72" s="4"/>
      <c r="DY72" s="4"/>
      <c r="DZ72" s="4"/>
      <c r="EA72" s="4"/>
      <c r="EB72" s="4"/>
      <c r="EC72" s="4">
        <v>0</v>
      </c>
      <c r="ED72" s="4"/>
      <c r="EE72" s="4"/>
      <c r="EF72" s="4">
        <v>0</v>
      </c>
      <c r="EG72" s="4"/>
      <c r="EH72" s="4"/>
      <c r="EI72" s="4"/>
      <c r="EJ72" s="26"/>
      <c r="EK72" s="26"/>
      <c r="EL72" s="26"/>
    </row>
    <row r="73" spans="1:142" ht="25.5" hidden="1">
      <c r="A73" s="11">
        <v>70</v>
      </c>
      <c r="B73" s="108">
        <v>7494</v>
      </c>
      <c r="C73" s="3" t="s">
        <v>95</v>
      </c>
      <c r="D73" s="3">
        <v>1313088174</v>
      </c>
      <c r="E73" s="3" t="s">
        <v>63</v>
      </c>
      <c r="F73" s="58" t="s">
        <v>171</v>
      </c>
      <c r="G73" s="5" t="s">
        <v>94</v>
      </c>
      <c r="H73" s="4">
        <v>1</v>
      </c>
      <c r="I73" s="4" t="s">
        <v>1005</v>
      </c>
      <c r="J73" s="38">
        <f t="shared" si="31"/>
        <v>45498</v>
      </c>
      <c r="K73" s="38">
        <v>45498</v>
      </c>
      <c r="L73" s="32">
        <v>46200</v>
      </c>
      <c r="M73" s="4" t="s">
        <v>404</v>
      </c>
      <c r="N73" s="4">
        <v>1</v>
      </c>
      <c r="O73" s="4" t="s">
        <v>1018</v>
      </c>
      <c r="P73" s="32">
        <f t="shared" si="28"/>
        <v>45925</v>
      </c>
      <c r="Q73" s="39">
        <v>45925</v>
      </c>
      <c r="R73" s="32">
        <v>46200</v>
      </c>
      <c r="S73" s="39" t="s">
        <v>404</v>
      </c>
      <c r="T73" s="4">
        <v>1</v>
      </c>
      <c r="U73" s="4" t="s">
        <v>1036</v>
      </c>
      <c r="V73" s="32">
        <v>45818</v>
      </c>
      <c r="W73" s="32">
        <v>45818</v>
      </c>
      <c r="X73" s="32">
        <v>46200</v>
      </c>
      <c r="Y73" s="32" t="s">
        <v>404</v>
      </c>
      <c r="Z73" s="4">
        <v>0</v>
      </c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>
        <v>0</v>
      </c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>
        <v>0</v>
      </c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>
        <v>0</v>
      </c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>
        <v>0</v>
      </c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>
        <v>0</v>
      </c>
      <c r="CJ73" s="4"/>
      <c r="CK73" s="4"/>
      <c r="CL73" s="4"/>
      <c r="CM73" s="4"/>
      <c r="CN73" s="4"/>
      <c r="CO73" s="4">
        <v>0</v>
      </c>
      <c r="CP73" s="4"/>
      <c r="CQ73" s="39"/>
      <c r="CR73" s="39"/>
      <c r="CS73" s="39"/>
      <c r="CT73" s="39"/>
      <c r="CU73" s="4">
        <v>0</v>
      </c>
      <c r="CV73" s="4"/>
      <c r="CW73" s="39"/>
      <c r="CX73" s="39"/>
      <c r="CY73" s="33"/>
      <c r="CZ73" s="34"/>
      <c r="DA73" s="31"/>
      <c r="DB73" s="31"/>
      <c r="DC73" s="31"/>
      <c r="DD73" s="31"/>
      <c r="DE73" s="4">
        <v>0</v>
      </c>
      <c r="DF73" s="4"/>
      <c r="DG73" s="4"/>
      <c r="DH73" s="4"/>
      <c r="DI73" s="4"/>
      <c r="DJ73" s="4"/>
      <c r="DK73" s="4">
        <v>0</v>
      </c>
      <c r="DL73" s="4"/>
      <c r="DM73" s="4"/>
      <c r="DN73" s="4"/>
      <c r="DO73" s="4"/>
      <c r="DP73" s="4"/>
      <c r="DQ73" s="31">
        <v>1</v>
      </c>
      <c r="DR73" s="31" t="s">
        <v>1084</v>
      </c>
      <c r="DS73" s="39">
        <v>45812</v>
      </c>
      <c r="DT73" s="32">
        <f t="shared" si="30"/>
        <v>45812</v>
      </c>
      <c r="DU73" s="32">
        <v>46052</v>
      </c>
      <c r="DV73" s="32" t="s">
        <v>404</v>
      </c>
      <c r="DW73" s="4">
        <v>0</v>
      </c>
      <c r="DX73" s="4"/>
      <c r="DY73" s="4"/>
      <c r="DZ73" s="4"/>
      <c r="EA73" s="4"/>
      <c r="EB73" s="4"/>
      <c r="EC73" s="4">
        <v>0</v>
      </c>
      <c r="ED73" s="4"/>
      <c r="EE73" s="4"/>
      <c r="EF73" s="4">
        <v>0</v>
      </c>
      <c r="EG73" s="4"/>
      <c r="EH73" s="4"/>
      <c r="EI73" s="4"/>
      <c r="EJ73" s="26"/>
      <c r="EK73" s="26"/>
      <c r="EL73" s="26"/>
    </row>
    <row r="74" spans="1:142" hidden="1">
      <c r="A74" s="11">
        <v>71</v>
      </c>
      <c r="B74" s="104">
        <v>9849</v>
      </c>
      <c r="C74" s="135" t="s">
        <v>96</v>
      </c>
      <c r="D74" s="4">
        <v>1313438573</v>
      </c>
      <c r="E74" s="3" t="s">
        <v>30</v>
      </c>
      <c r="F74" s="59" t="s">
        <v>214</v>
      </c>
      <c r="G74" s="5" t="s">
        <v>94</v>
      </c>
      <c r="H74" s="4">
        <v>0</v>
      </c>
      <c r="I74" s="4"/>
      <c r="J74" s="32"/>
      <c r="K74" s="32"/>
      <c r="L74" s="32"/>
      <c r="M74" s="32"/>
      <c r="N74" s="4">
        <v>1</v>
      </c>
      <c r="O74" s="4" t="s">
        <v>1019</v>
      </c>
      <c r="P74" s="32">
        <f t="shared" si="28"/>
        <v>45161</v>
      </c>
      <c r="Q74" s="32">
        <v>45161</v>
      </c>
      <c r="R74" s="39">
        <v>46233</v>
      </c>
      <c r="S74" s="32" t="s">
        <v>404</v>
      </c>
      <c r="T74" s="4">
        <v>1</v>
      </c>
      <c r="U74" s="4" t="s">
        <v>1037</v>
      </c>
      <c r="V74" s="32">
        <v>45818</v>
      </c>
      <c r="W74" s="32">
        <v>45818</v>
      </c>
      <c r="X74" s="32">
        <v>46233</v>
      </c>
      <c r="Y74" s="32" t="s">
        <v>404</v>
      </c>
      <c r="Z74" s="5">
        <v>1</v>
      </c>
      <c r="AA74" s="5" t="s">
        <v>1051</v>
      </c>
      <c r="AB74" s="32">
        <f t="shared" ref="AB74" si="32">AC74</f>
        <v>45161</v>
      </c>
      <c r="AC74" s="32">
        <v>45161</v>
      </c>
      <c r="AD74" s="5"/>
      <c r="AE74" s="22">
        <v>44887</v>
      </c>
      <c r="AF74" s="22">
        <f>DATE(YEAR(AE74)+5,MONTH(AE74),DAY(AE74))</f>
        <v>46713</v>
      </c>
      <c r="AG74" s="5"/>
      <c r="AH74" s="36" t="s">
        <v>161</v>
      </c>
      <c r="AI74" s="32">
        <v>46233</v>
      </c>
      <c r="AJ74" s="5" t="s">
        <v>404</v>
      </c>
      <c r="AK74" s="4">
        <v>1</v>
      </c>
      <c r="AL74" s="4" t="s">
        <v>1054</v>
      </c>
      <c r="AM74" s="32">
        <v>45161</v>
      </c>
      <c r="AN74" s="32">
        <v>45161</v>
      </c>
      <c r="AO74" s="4"/>
      <c r="AP74" s="22">
        <v>44856</v>
      </c>
      <c r="AQ74" s="34">
        <v>46687</v>
      </c>
      <c r="AR74" s="22" t="s">
        <v>163</v>
      </c>
      <c r="AS74" s="22" t="s">
        <v>162</v>
      </c>
      <c r="AT74" s="38">
        <v>46233</v>
      </c>
      <c r="AU74" s="22" t="s">
        <v>404</v>
      </c>
      <c r="AV74" s="5">
        <v>1</v>
      </c>
      <c r="AW74" s="5" t="s">
        <v>1057</v>
      </c>
      <c r="AX74" s="32">
        <v>45161</v>
      </c>
      <c r="AY74" s="32">
        <v>45161</v>
      </c>
      <c r="AZ74" s="5"/>
      <c r="BA74" s="22">
        <v>44703</v>
      </c>
      <c r="BB74" s="34">
        <v>46529</v>
      </c>
      <c r="BC74" s="22" t="s">
        <v>163</v>
      </c>
      <c r="BD74" s="34" t="s">
        <v>1210</v>
      </c>
      <c r="BE74" s="32">
        <v>46233</v>
      </c>
      <c r="BF74" s="22" t="s">
        <v>404</v>
      </c>
      <c r="BG74" s="5">
        <v>1</v>
      </c>
      <c r="BH74" s="5" t="s">
        <v>1060</v>
      </c>
      <c r="BI74" s="32">
        <v>45161</v>
      </c>
      <c r="BJ74" s="32">
        <v>45161</v>
      </c>
      <c r="BK74" s="5"/>
      <c r="BL74" s="22">
        <v>44703</v>
      </c>
      <c r="BM74" s="34">
        <v>46529</v>
      </c>
      <c r="BN74" s="22" t="s">
        <v>163</v>
      </c>
      <c r="BO74" s="22" t="s">
        <v>164</v>
      </c>
      <c r="BP74" s="32">
        <v>46233</v>
      </c>
      <c r="BQ74" s="22" t="s">
        <v>404</v>
      </c>
      <c r="BR74" s="5">
        <v>1</v>
      </c>
      <c r="BS74" s="5" t="s">
        <v>1063</v>
      </c>
      <c r="BT74" s="32">
        <v>45161</v>
      </c>
      <c r="BU74" s="32">
        <v>45161</v>
      </c>
      <c r="BV74" s="5"/>
      <c r="BW74" s="23">
        <v>44483</v>
      </c>
      <c r="BX74" s="34">
        <v>46674</v>
      </c>
      <c r="BY74" s="22" t="s">
        <v>163</v>
      </c>
      <c r="BZ74" s="23" t="s">
        <v>165</v>
      </c>
      <c r="CA74" s="38">
        <v>46233</v>
      </c>
      <c r="CB74" s="22" t="s">
        <v>404</v>
      </c>
      <c r="CC74" s="23"/>
      <c r="CD74" s="23"/>
      <c r="CE74" s="23"/>
      <c r="CF74" s="23"/>
      <c r="CG74" s="23"/>
      <c r="CH74" s="23"/>
      <c r="CI74" s="31">
        <v>1</v>
      </c>
      <c r="CJ74" s="31" t="s">
        <v>1066</v>
      </c>
      <c r="CK74" s="32">
        <v>45577</v>
      </c>
      <c r="CL74" s="32">
        <v>45577</v>
      </c>
      <c r="CM74" s="105">
        <v>46233</v>
      </c>
      <c r="CN74" s="22" t="s">
        <v>404</v>
      </c>
      <c r="CO74" s="4">
        <v>0</v>
      </c>
      <c r="CP74" s="4"/>
      <c r="CQ74" s="39"/>
      <c r="CR74" s="39"/>
      <c r="CS74" s="39"/>
      <c r="CT74" s="39"/>
      <c r="CU74" s="4">
        <v>0</v>
      </c>
      <c r="CV74" s="4"/>
      <c r="CW74" s="39"/>
      <c r="CX74" s="39"/>
      <c r="CY74" s="33"/>
      <c r="CZ74" s="34"/>
      <c r="DA74" s="31"/>
      <c r="DB74" s="31"/>
      <c r="DC74" s="31"/>
      <c r="DD74" s="31"/>
      <c r="DE74" s="4">
        <v>1</v>
      </c>
      <c r="DF74" s="4" t="s">
        <v>1081</v>
      </c>
      <c r="DG74" s="39">
        <v>45732</v>
      </c>
      <c r="DH74" s="32">
        <f>DG74</f>
        <v>45732</v>
      </c>
      <c r="DI74" s="39">
        <v>46233</v>
      </c>
      <c r="DJ74" s="31" t="s">
        <v>404</v>
      </c>
      <c r="DK74" s="4">
        <v>0</v>
      </c>
      <c r="DL74" s="4"/>
      <c r="DM74" s="4"/>
      <c r="DN74" s="4"/>
      <c r="DO74" s="4"/>
      <c r="DP74" s="4"/>
      <c r="DQ74" s="31">
        <v>1</v>
      </c>
      <c r="DR74" s="31" t="s">
        <v>1085</v>
      </c>
      <c r="DS74" s="39">
        <v>45812</v>
      </c>
      <c r="DT74" s="32">
        <f t="shared" si="30"/>
        <v>45812</v>
      </c>
      <c r="DU74" s="39">
        <v>46233</v>
      </c>
      <c r="DV74" s="32" t="s">
        <v>404</v>
      </c>
      <c r="DW74" s="4">
        <v>0</v>
      </c>
      <c r="DX74" s="4"/>
      <c r="DY74" s="4"/>
      <c r="DZ74" s="4"/>
      <c r="EA74" s="4"/>
      <c r="EB74" s="4"/>
      <c r="EC74" s="4">
        <v>0</v>
      </c>
      <c r="ED74" s="4"/>
      <c r="EE74" s="4"/>
      <c r="EF74" s="4">
        <v>0</v>
      </c>
      <c r="EG74" s="4"/>
      <c r="EH74" s="4"/>
      <c r="EI74" s="4"/>
      <c r="EJ74" s="26"/>
      <c r="EK74" s="26"/>
      <c r="EL74" s="26"/>
    </row>
    <row r="75" spans="1:142" hidden="1">
      <c r="A75" s="11">
        <v>72</v>
      </c>
      <c r="B75" s="108">
        <v>10058</v>
      </c>
      <c r="C75" s="4" t="s">
        <v>97</v>
      </c>
      <c r="D75" s="4">
        <v>1313088399</v>
      </c>
      <c r="E75" s="4" t="s">
        <v>44</v>
      </c>
      <c r="F75" s="59" t="s">
        <v>171</v>
      </c>
      <c r="G75" s="5" t="s">
        <v>94</v>
      </c>
      <c r="H75" s="4">
        <v>1</v>
      </c>
      <c r="I75" s="4" t="s">
        <v>1007</v>
      </c>
      <c r="J75" s="38">
        <f t="shared" ref="J75" si="33">K75</f>
        <v>45498</v>
      </c>
      <c r="K75" s="38">
        <v>45498</v>
      </c>
      <c r="L75" s="32">
        <v>46200</v>
      </c>
      <c r="M75" s="4" t="s">
        <v>404</v>
      </c>
      <c r="N75" s="4">
        <v>1</v>
      </c>
      <c r="O75" s="4" t="s">
        <v>1020</v>
      </c>
      <c r="P75" s="32">
        <f t="shared" si="28"/>
        <v>45925</v>
      </c>
      <c r="Q75" s="39">
        <v>45925</v>
      </c>
      <c r="R75" s="32">
        <v>46200</v>
      </c>
      <c r="S75" s="39" t="s">
        <v>404</v>
      </c>
      <c r="T75" s="4">
        <v>1</v>
      </c>
      <c r="U75" s="4" t="s">
        <v>1038</v>
      </c>
      <c r="V75" s="32">
        <v>45818</v>
      </c>
      <c r="W75" s="32">
        <v>45818</v>
      </c>
      <c r="X75" s="32">
        <v>46200</v>
      </c>
      <c r="Y75" s="32" t="s">
        <v>404</v>
      </c>
      <c r="Z75" s="5">
        <v>0</v>
      </c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4">
        <v>0</v>
      </c>
      <c r="AL75" s="4"/>
      <c r="AM75" s="4"/>
      <c r="AN75" s="4"/>
      <c r="AO75" s="4"/>
      <c r="AP75" s="4"/>
      <c r="AQ75" s="4"/>
      <c r="AR75" s="4"/>
      <c r="AS75" s="4"/>
      <c r="AT75" s="105"/>
      <c r="AU75" s="4"/>
      <c r="AV75" s="5">
        <v>0</v>
      </c>
      <c r="AW75" s="5"/>
      <c r="AX75" s="5"/>
      <c r="AY75" s="5"/>
      <c r="AZ75" s="5"/>
      <c r="BA75" s="5"/>
      <c r="BB75" s="5"/>
      <c r="BC75" s="5"/>
      <c r="BD75" s="5"/>
      <c r="BE75" s="105"/>
      <c r="BF75" s="4"/>
      <c r="BG75" s="5">
        <v>0</v>
      </c>
      <c r="BH75" s="5"/>
      <c r="BI75" s="5"/>
      <c r="BJ75" s="5"/>
      <c r="BK75" s="5"/>
      <c r="BL75" s="5"/>
      <c r="BM75" s="5"/>
      <c r="BN75" s="5"/>
      <c r="BO75" s="5"/>
      <c r="BP75" s="105"/>
      <c r="BQ75" s="4"/>
      <c r="BR75" s="5">
        <v>0</v>
      </c>
      <c r="BS75" s="5"/>
      <c r="BT75" s="5"/>
      <c r="BU75" s="5"/>
      <c r="BV75" s="5"/>
      <c r="BW75" s="5"/>
      <c r="BX75" s="5"/>
      <c r="BY75" s="5"/>
      <c r="BZ75" s="5"/>
      <c r="CA75" s="105"/>
      <c r="CB75" s="4"/>
      <c r="CC75" s="5"/>
      <c r="CD75" s="5"/>
      <c r="CE75" s="5"/>
      <c r="CF75" s="5"/>
      <c r="CG75" s="5"/>
      <c r="CH75" s="5"/>
      <c r="CI75" s="4">
        <v>0</v>
      </c>
      <c r="CJ75" s="4"/>
      <c r="CK75" s="4"/>
      <c r="CL75" s="4"/>
      <c r="CM75" s="105"/>
      <c r="CN75" s="4"/>
      <c r="CO75" s="4">
        <v>1</v>
      </c>
      <c r="CP75" s="4" t="s">
        <v>1070</v>
      </c>
      <c r="CQ75" s="39">
        <v>45557</v>
      </c>
      <c r="CR75" s="39">
        <v>45557</v>
      </c>
      <c r="CS75" s="32">
        <v>46200</v>
      </c>
      <c r="CT75" s="39" t="s">
        <v>404</v>
      </c>
      <c r="CU75" s="4">
        <v>1</v>
      </c>
      <c r="CV75" s="4" t="s">
        <v>1077</v>
      </c>
      <c r="CW75" s="39">
        <f t="shared" si="22"/>
        <v>45818</v>
      </c>
      <c r="CX75" s="39">
        <v>45818</v>
      </c>
      <c r="CY75" s="33">
        <v>45658</v>
      </c>
      <c r="CZ75" s="34">
        <v>46388</v>
      </c>
      <c r="DA75" s="31" t="s">
        <v>166</v>
      </c>
      <c r="DB75" s="31" t="s">
        <v>167</v>
      </c>
      <c r="DC75" s="32">
        <v>46200</v>
      </c>
      <c r="DD75" s="31" t="s">
        <v>404</v>
      </c>
      <c r="DE75" s="4">
        <v>0</v>
      </c>
      <c r="DF75" s="4"/>
      <c r="DG75" s="4"/>
      <c r="DH75" s="4"/>
      <c r="DI75" s="4"/>
      <c r="DJ75" s="4"/>
      <c r="DK75" s="4">
        <v>0</v>
      </c>
      <c r="DL75" s="4"/>
      <c r="DM75" s="4"/>
      <c r="DN75" s="4"/>
      <c r="DO75" s="4"/>
      <c r="DP75" s="4"/>
      <c r="DQ75" s="31">
        <v>0</v>
      </c>
      <c r="DR75" s="31"/>
      <c r="DS75" s="39"/>
      <c r="DT75" s="32"/>
      <c r="DU75" s="32"/>
      <c r="DV75" s="32"/>
      <c r="DW75" s="4">
        <v>1</v>
      </c>
      <c r="DX75" s="4" t="s">
        <v>1089</v>
      </c>
      <c r="DY75" s="39">
        <v>45732</v>
      </c>
      <c r="DZ75" s="32">
        <f>DY75</f>
        <v>45732</v>
      </c>
      <c r="EA75" s="32">
        <v>46052</v>
      </c>
      <c r="EB75" s="32" t="s">
        <v>404</v>
      </c>
      <c r="EC75" s="4">
        <v>0</v>
      </c>
      <c r="ED75" s="4"/>
      <c r="EE75" s="4"/>
      <c r="EF75" s="4">
        <v>0</v>
      </c>
      <c r="EG75" s="4"/>
      <c r="EH75" s="43"/>
      <c r="EI75" s="43"/>
      <c r="EJ75" s="26"/>
      <c r="EK75" s="26"/>
      <c r="EL75" s="26"/>
    </row>
    <row r="76" spans="1:142" hidden="1">
      <c r="A76" s="11">
        <v>73</v>
      </c>
      <c r="B76" s="104">
        <v>10379</v>
      </c>
      <c r="C76" s="135" t="s">
        <v>98</v>
      </c>
      <c r="D76" s="4">
        <v>1313438702</v>
      </c>
      <c r="E76" s="3" t="s">
        <v>39</v>
      </c>
      <c r="F76" s="59" t="s">
        <v>214</v>
      </c>
      <c r="G76" s="5" t="s">
        <v>94</v>
      </c>
      <c r="H76" s="4">
        <v>0</v>
      </c>
      <c r="I76" s="4"/>
      <c r="J76" s="32"/>
      <c r="K76" s="32"/>
      <c r="L76" s="32"/>
      <c r="M76" s="32"/>
      <c r="N76" s="4">
        <v>1</v>
      </c>
      <c r="O76" s="4" t="s">
        <v>1021</v>
      </c>
      <c r="P76" s="32">
        <f t="shared" si="28"/>
        <v>45161</v>
      </c>
      <c r="Q76" s="32">
        <v>45161</v>
      </c>
      <c r="R76" s="39">
        <v>46233</v>
      </c>
      <c r="S76" s="32" t="s">
        <v>404</v>
      </c>
      <c r="T76" s="4">
        <v>1</v>
      </c>
      <c r="U76" s="4" t="s">
        <v>1039</v>
      </c>
      <c r="V76" s="32">
        <v>45818</v>
      </c>
      <c r="W76" s="32">
        <v>45818</v>
      </c>
      <c r="X76" s="32">
        <v>46233</v>
      </c>
      <c r="Y76" s="32" t="s">
        <v>404</v>
      </c>
      <c r="Z76" s="5">
        <v>1</v>
      </c>
      <c r="AA76" s="5" t="s">
        <v>1052</v>
      </c>
      <c r="AB76" s="32">
        <f t="shared" ref="AB76" si="34">AC76</f>
        <v>45161</v>
      </c>
      <c r="AC76" s="32">
        <v>45161</v>
      </c>
      <c r="AD76" s="5"/>
      <c r="AE76" s="22">
        <v>44887</v>
      </c>
      <c r="AF76" s="22">
        <f>DATE(YEAR(AE76)+5,MONTH(AE76),DAY(AE76))</f>
        <v>46713</v>
      </c>
      <c r="AG76" s="5"/>
      <c r="AH76" s="36" t="s">
        <v>161</v>
      </c>
      <c r="AI76" s="32">
        <v>46233</v>
      </c>
      <c r="AJ76" s="5" t="s">
        <v>404</v>
      </c>
      <c r="AK76" s="4">
        <v>1</v>
      </c>
      <c r="AL76" s="4" t="s">
        <v>1055</v>
      </c>
      <c r="AM76" s="32">
        <v>45161</v>
      </c>
      <c r="AN76" s="32">
        <v>45161</v>
      </c>
      <c r="AO76" s="4"/>
      <c r="AP76" s="22">
        <v>44856</v>
      </c>
      <c r="AQ76" s="34">
        <v>46687</v>
      </c>
      <c r="AR76" s="22" t="s">
        <v>163</v>
      </c>
      <c r="AS76" s="22" t="s">
        <v>162</v>
      </c>
      <c r="AT76" s="38">
        <v>46233</v>
      </c>
      <c r="AU76" s="22" t="s">
        <v>404</v>
      </c>
      <c r="AV76" s="5">
        <v>1</v>
      </c>
      <c r="AW76" s="5" t="s">
        <v>1058</v>
      </c>
      <c r="AX76" s="32">
        <v>45161</v>
      </c>
      <c r="AY76" s="32">
        <v>45161</v>
      </c>
      <c r="AZ76" s="5"/>
      <c r="BA76" s="22">
        <v>44703</v>
      </c>
      <c r="BB76" s="34">
        <v>46529</v>
      </c>
      <c r="BC76" s="22" t="s">
        <v>163</v>
      </c>
      <c r="BD76" s="34" t="s">
        <v>1210</v>
      </c>
      <c r="BE76" s="32">
        <v>46233</v>
      </c>
      <c r="BF76" s="22" t="s">
        <v>404</v>
      </c>
      <c r="BG76" s="5">
        <v>1</v>
      </c>
      <c r="BH76" s="5" t="s">
        <v>1061</v>
      </c>
      <c r="BI76" s="32">
        <v>45161</v>
      </c>
      <c r="BJ76" s="32">
        <v>45161</v>
      </c>
      <c r="BK76" s="5"/>
      <c r="BL76" s="22">
        <v>44703</v>
      </c>
      <c r="BM76" s="34">
        <v>46529</v>
      </c>
      <c r="BN76" s="22" t="s">
        <v>163</v>
      </c>
      <c r="BO76" s="22" t="s">
        <v>164</v>
      </c>
      <c r="BP76" s="32">
        <v>46233</v>
      </c>
      <c r="BQ76" s="22" t="s">
        <v>404</v>
      </c>
      <c r="BR76" s="5">
        <v>1</v>
      </c>
      <c r="BS76" s="5" t="s">
        <v>1064</v>
      </c>
      <c r="BT76" s="32">
        <v>45161</v>
      </c>
      <c r="BU76" s="32">
        <v>45161</v>
      </c>
      <c r="BV76" s="5"/>
      <c r="BW76" s="23">
        <v>44483</v>
      </c>
      <c r="BX76" s="34">
        <v>46674</v>
      </c>
      <c r="BY76" s="22" t="s">
        <v>163</v>
      </c>
      <c r="BZ76" s="23" t="s">
        <v>165</v>
      </c>
      <c r="CA76" s="38">
        <v>46233</v>
      </c>
      <c r="CB76" s="22" t="s">
        <v>404</v>
      </c>
      <c r="CC76" s="23"/>
      <c r="CD76" s="23"/>
      <c r="CE76" s="23"/>
      <c r="CF76" s="23"/>
      <c r="CG76" s="23"/>
      <c r="CH76" s="23"/>
      <c r="CI76" s="31">
        <v>1</v>
      </c>
      <c r="CJ76" s="31" t="s">
        <v>1067</v>
      </c>
      <c r="CK76" s="32">
        <v>45577</v>
      </c>
      <c r="CL76" s="32">
        <v>45577</v>
      </c>
      <c r="CM76" s="105">
        <v>46233</v>
      </c>
      <c r="CN76" s="22" t="s">
        <v>404</v>
      </c>
      <c r="CO76" s="4">
        <v>1</v>
      </c>
      <c r="CP76" s="4" t="s">
        <v>1071</v>
      </c>
      <c r="CQ76" s="39">
        <v>45557</v>
      </c>
      <c r="CR76" s="39">
        <v>45557</v>
      </c>
      <c r="CS76" s="39">
        <v>46233</v>
      </c>
      <c r="CT76" s="39" t="s">
        <v>404</v>
      </c>
      <c r="CU76" s="4">
        <v>0</v>
      </c>
      <c r="CV76" s="4"/>
      <c r="CW76" s="39"/>
      <c r="CX76" s="39"/>
      <c r="CY76" s="33"/>
      <c r="CZ76" s="34"/>
      <c r="DA76" s="31"/>
      <c r="DB76" s="31"/>
      <c r="DC76" s="31"/>
      <c r="DD76" s="31"/>
      <c r="DE76" s="4">
        <v>0</v>
      </c>
      <c r="DF76" s="4"/>
      <c r="DG76" s="4"/>
      <c r="DH76" s="4"/>
      <c r="DI76" s="4"/>
      <c r="DJ76" s="4"/>
      <c r="DK76" s="4">
        <v>0</v>
      </c>
      <c r="DL76" s="4"/>
      <c r="DM76" s="4"/>
      <c r="DN76" s="4"/>
      <c r="DO76" s="4"/>
      <c r="DP76" s="4"/>
      <c r="DQ76" s="31">
        <v>0</v>
      </c>
      <c r="DR76" s="31"/>
      <c r="DS76" s="39"/>
      <c r="DT76" s="32"/>
      <c r="DU76" s="32"/>
      <c r="DV76" s="32"/>
      <c r="DW76" s="4">
        <v>0</v>
      </c>
      <c r="DX76" s="4"/>
      <c r="DY76" s="4"/>
      <c r="DZ76" s="4"/>
      <c r="EA76" s="4"/>
      <c r="EB76" s="4"/>
      <c r="EC76" s="4">
        <v>0</v>
      </c>
      <c r="ED76" s="4"/>
      <c r="EE76" s="4"/>
      <c r="EF76" s="4">
        <v>0</v>
      </c>
      <c r="EG76" s="4"/>
      <c r="EH76" s="4"/>
      <c r="EI76" s="4"/>
      <c r="EJ76" s="26"/>
      <c r="EK76" s="26"/>
      <c r="EL76" s="26"/>
    </row>
    <row r="77" spans="1:142" hidden="1">
      <c r="A77" s="11">
        <v>74</v>
      </c>
      <c r="B77" s="110">
        <v>10732</v>
      </c>
      <c r="C77" s="5" t="s">
        <v>237</v>
      </c>
      <c r="D77" s="4">
        <v>1313088090</v>
      </c>
      <c r="E77" s="3" t="s">
        <v>40</v>
      </c>
      <c r="F77" s="59" t="s">
        <v>171</v>
      </c>
      <c r="G77" s="5" t="s">
        <v>94</v>
      </c>
      <c r="H77" s="4">
        <v>1</v>
      </c>
      <c r="I77" s="4" t="s">
        <v>1009</v>
      </c>
      <c r="J77" s="38">
        <f t="shared" ref="J77:J79" si="35">K77</f>
        <v>45498</v>
      </c>
      <c r="K77" s="38">
        <v>45498</v>
      </c>
      <c r="L77" s="32">
        <v>46200</v>
      </c>
      <c r="M77" s="4" t="s">
        <v>404</v>
      </c>
      <c r="N77" s="4">
        <v>1</v>
      </c>
      <c r="O77" s="4" t="s">
        <v>1022</v>
      </c>
      <c r="P77" s="32">
        <f t="shared" si="28"/>
        <v>45925</v>
      </c>
      <c r="Q77" s="39">
        <v>45925</v>
      </c>
      <c r="R77" s="32">
        <v>46200</v>
      </c>
      <c r="S77" s="39" t="s">
        <v>404</v>
      </c>
      <c r="T77" s="4">
        <v>1</v>
      </c>
      <c r="U77" s="4" t="s">
        <v>1040</v>
      </c>
      <c r="V77" s="32">
        <v>45818</v>
      </c>
      <c r="W77" s="32">
        <v>45818</v>
      </c>
      <c r="X77" s="32">
        <v>46200</v>
      </c>
      <c r="Y77" s="32" t="s">
        <v>404</v>
      </c>
      <c r="Z77" s="4">
        <v>0</v>
      </c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>
        <v>0</v>
      </c>
      <c r="AL77" s="4"/>
      <c r="AM77" s="4"/>
      <c r="AN77" s="4"/>
      <c r="AO77" s="4"/>
      <c r="AP77" s="4"/>
      <c r="AQ77" s="4"/>
      <c r="AR77" s="4"/>
      <c r="AS77" s="4"/>
      <c r="AT77" s="105"/>
      <c r="AU77" s="4"/>
      <c r="AV77" s="4">
        <v>0</v>
      </c>
      <c r="AW77" s="4"/>
      <c r="AX77" s="4"/>
      <c r="AY77" s="4"/>
      <c r="AZ77" s="4"/>
      <c r="BA77" s="4"/>
      <c r="BB77" s="4"/>
      <c r="BC77" s="4"/>
      <c r="BD77" s="4"/>
      <c r="BE77" s="105"/>
      <c r="BF77" s="4"/>
      <c r="BG77" s="4">
        <v>0</v>
      </c>
      <c r="BH77" s="4"/>
      <c r="BI77" s="4"/>
      <c r="BJ77" s="4"/>
      <c r="BK77" s="4"/>
      <c r="BL77" s="4"/>
      <c r="BM77" s="4"/>
      <c r="BN77" s="4"/>
      <c r="BO77" s="4"/>
      <c r="BP77" s="105"/>
      <c r="BQ77" s="4"/>
      <c r="BR77" s="4">
        <v>0</v>
      </c>
      <c r="BS77" s="4"/>
      <c r="BT77" s="4"/>
      <c r="BU77" s="4"/>
      <c r="BV77" s="4"/>
      <c r="BW77" s="4"/>
      <c r="BX77" s="4"/>
      <c r="BY77" s="4"/>
      <c r="BZ77" s="4"/>
      <c r="CA77" s="105"/>
      <c r="CB77" s="4"/>
      <c r="CC77" s="4"/>
      <c r="CD77" s="4"/>
      <c r="CE77" s="4"/>
      <c r="CF77" s="4"/>
      <c r="CG77" s="4"/>
      <c r="CH77" s="4"/>
      <c r="CI77" s="4">
        <v>0</v>
      </c>
      <c r="CJ77" s="4"/>
      <c r="CK77" s="4"/>
      <c r="CL77" s="4"/>
      <c r="CM77" s="105"/>
      <c r="CN77" s="4"/>
      <c r="CO77" s="4">
        <v>0</v>
      </c>
      <c r="CP77" s="4"/>
      <c r="CQ77" s="39"/>
      <c r="CR77" s="39"/>
      <c r="CS77" s="39"/>
      <c r="CT77" s="39"/>
      <c r="CU77" s="4">
        <v>1</v>
      </c>
      <c r="CV77" s="4" t="s">
        <v>1078</v>
      </c>
      <c r="CW77" s="39">
        <f t="shared" si="22"/>
        <v>45818</v>
      </c>
      <c r="CX77" s="39">
        <v>45818</v>
      </c>
      <c r="CY77" s="33">
        <v>45658</v>
      </c>
      <c r="CZ77" s="34">
        <v>46388</v>
      </c>
      <c r="DA77" s="31" t="s">
        <v>166</v>
      </c>
      <c r="DB77" s="31" t="s">
        <v>167</v>
      </c>
      <c r="DC77" s="32">
        <v>46200</v>
      </c>
      <c r="DD77" s="31" t="s">
        <v>404</v>
      </c>
      <c r="DE77" s="4">
        <v>0</v>
      </c>
      <c r="DF77" s="4"/>
      <c r="DG77" s="4"/>
      <c r="DH77" s="4"/>
      <c r="DI77" s="4"/>
      <c r="DJ77" s="4"/>
      <c r="DK77" s="4">
        <v>0</v>
      </c>
      <c r="DL77" s="4"/>
      <c r="DM77" s="4"/>
      <c r="DN77" s="4"/>
      <c r="DO77" s="4"/>
      <c r="DP77" s="4"/>
      <c r="DQ77" s="31">
        <v>0</v>
      </c>
      <c r="DR77" s="31"/>
      <c r="DS77" s="39"/>
      <c r="DT77" s="32"/>
      <c r="DU77" s="32"/>
      <c r="DV77" s="32"/>
      <c r="DW77" s="4">
        <v>1</v>
      </c>
      <c r="DX77" s="4" t="s">
        <v>1090</v>
      </c>
      <c r="DY77" s="39">
        <v>45732</v>
      </c>
      <c r="DZ77" s="32">
        <f t="shared" ref="DZ77:DZ78" si="36">DY77</f>
        <v>45732</v>
      </c>
      <c r="EA77" s="32">
        <v>46052</v>
      </c>
      <c r="EB77" s="32" t="s">
        <v>404</v>
      </c>
      <c r="EC77" s="4">
        <v>0</v>
      </c>
      <c r="ED77" s="4"/>
      <c r="EE77" s="4"/>
      <c r="EF77" s="4">
        <v>0</v>
      </c>
      <c r="EG77" s="4"/>
      <c r="EH77" s="4"/>
      <c r="EI77" s="4"/>
      <c r="EJ77" s="26"/>
      <c r="EK77" s="26"/>
      <c r="EL77" s="26"/>
    </row>
    <row r="78" spans="1:142" hidden="1">
      <c r="A78" s="11">
        <v>75</v>
      </c>
      <c r="B78" s="110">
        <v>10820</v>
      </c>
      <c r="C78" s="6" t="s">
        <v>99</v>
      </c>
      <c r="D78" s="4">
        <v>1313088392</v>
      </c>
      <c r="E78" s="6" t="s">
        <v>45</v>
      </c>
      <c r="F78" s="59" t="s">
        <v>171</v>
      </c>
      <c r="G78" s="5" t="s">
        <v>94</v>
      </c>
      <c r="H78" s="4">
        <v>1</v>
      </c>
      <c r="I78" s="4" t="s">
        <v>1010</v>
      </c>
      <c r="J78" s="38">
        <f t="shared" si="35"/>
        <v>45498</v>
      </c>
      <c r="K78" s="38">
        <v>45498</v>
      </c>
      <c r="L78" s="32">
        <v>46200</v>
      </c>
      <c r="M78" s="4" t="s">
        <v>404</v>
      </c>
      <c r="N78" s="4">
        <v>1</v>
      </c>
      <c r="O78" s="4" t="s">
        <v>1023</v>
      </c>
      <c r="P78" s="32">
        <f t="shared" si="28"/>
        <v>45925</v>
      </c>
      <c r="Q78" s="39">
        <v>45925</v>
      </c>
      <c r="R78" s="32">
        <v>46200</v>
      </c>
      <c r="S78" s="39" t="s">
        <v>404</v>
      </c>
      <c r="T78" s="4">
        <v>1</v>
      </c>
      <c r="U78" s="4" t="s">
        <v>1041</v>
      </c>
      <c r="V78" s="32">
        <v>45818</v>
      </c>
      <c r="W78" s="32">
        <v>45818</v>
      </c>
      <c r="X78" s="32">
        <v>46200</v>
      </c>
      <c r="Y78" s="32" t="s">
        <v>405</v>
      </c>
      <c r="Z78" s="4">
        <v>0</v>
      </c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>
        <v>0</v>
      </c>
      <c r="AL78" s="4"/>
      <c r="AM78" s="4"/>
      <c r="AN78" s="4"/>
      <c r="AO78" s="4"/>
      <c r="AP78" s="4"/>
      <c r="AQ78" s="4"/>
      <c r="AR78" s="4"/>
      <c r="AS78" s="4"/>
      <c r="AT78" s="105"/>
      <c r="AU78" s="4"/>
      <c r="AV78" s="4">
        <v>0</v>
      </c>
      <c r="AW78" s="4"/>
      <c r="AX78" s="4"/>
      <c r="AY78" s="4"/>
      <c r="AZ78" s="4"/>
      <c r="BA78" s="4"/>
      <c r="BB78" s="4"/>
      <c r="BC78" s="4"/>
      <c r="BD78" s="4"/>
      <c r="BE78" s="105"/>
      <c r="BF78" s="4"/>
      <c r="BG78" s="4">
        <v>0</v>
      </c>
      <c r="BH78" s="4"/>
      <c r="BI78" s="4"/>
      <c r="BJ78" s="4"/>
      <c r="BK78" s="4"/>
      <c r="BL78" s="4"/>
      <c r="BM78" s="4"/>
      <c r="BN78" s="4"/>
      <c r="BO78" s="4"/>
      <c r="BP78" s="105"/>
      <c r="BQ78" s="4"/>
      <c r="BR78" s="4">
        <v>0</v>
      </c>
      <c r="BS78" s="4"/>
      <c r="BT78" s="4"/>
      <c r="BU78" s="4"/>
      <c r="BV78" s="4"/>
      <c r="BW78" s="4"/>
      <c r="BX78" s="4"/>
      <c r="BY78" s="4"/>
      <c r="BZ78" s="4"/>
      <c r="CA78" s="105"/>
      <c r="CB78" s="4"/>
      <c r="CC78" s="4"/>
      <c r="CD78" s="4"/>
      <c r="CE78" s="4"/>
      <c r="CF78" s="4"/>
      <c r="CG78" s="4"/>
      <c r="CH78" s="4"/>
      <c r="CI78" s="4">
        <v>0</v>
      </c>
      <c r="CJ78" s="4"/>
      <c r="CK78" s="4"/>
      <c r="CL78" s="4"/>
      <c r="CM78" s="105"/>
      <c r="CN78" s="4"/>
      <c r="CO78" s="4">
        <v>1</v>
      </c>
      <c r="CP78" s="4" t="s">
        <v>1072</v>
      </c>
      <c r="CQ78" s="39">
        <v>45557</v>
      </c>
      <c r="CR78" s="39">
        <v>45557</v>
      </c>
      <c r="CS78" s="32">
        <v>46200</v>
      </c>
      <c r="CT78" s="39" t="s">
        <v>404</v>
      </c>
      <c r="CU78" s="4">
        <v>1</v>
      </c>
      <c r="CV78" s="4" t="s">
        <v>1079</v>
      </c>
      <c r="CW78" s="39">
        <f t="shared" si="22"/>
        <v>45818</v>
      </c>
      <c r="CX78" s="39">
        <v>45818</v>
      </c>
      <c r="CY78" s="33">
        <v>45658</v>
      </c>
      <c r="CZ78" s="34">
        <v>46388</v>
      </c>
      <c r="DA78" s="31" t="s">
        <v>166</v>
      </c>
      <c r="DB78" s="31" t="s">
        <v>167</v>
      </c>
      <c r="DC78" s="32">
        <v>46200</v>
      </c>
      <c r="DD78" s="31" t="s">
        <v>404</v>
      </c>
      <c r="DE78" s="4">
        <v>1</v>
      </c>
      <c r="DF78" s="4" t="s">
        <v>1082</v>
      </c>
      <c r="DG78" s="39">
        <v>45732</v>
      </c>
      <c r="DH78" s="32">
        <f>DG78</f>
        <v>45732</v>
      </c>
      <c r="DI78" s="32">
        <v>46052</v>
      </c>
      <c r="DJ78" s="31" t="s">
        <v>404</v>
      </c>
      <c r="DK78" s="4">
        <v>0</v>
      </c>
      <c r="DL78" s="4"/>
      <c r="DM78" s="4"/>
      <c r="DN78" s="4"/>
      <c r="DO78" s="4"/>
      <c r="DP78" s="4"/>
      <c r="DQ78" s="31">
        <v>0</v>
      </c>
      <c r="DR78" s="31"/>
      <c r="DS78" s="39"/>
      <c r="DT78" s="32"/>
      <c r="DU78" s="32"/>
      <c r="DV78" s="32"/>
      <c r="DW78" s="4">
        <v>1</v>
      </c>
      <c r="DX78" s="4" t="s">
        <v>1091</v>
      </c>
      <c r="DY78" s="39">
        <v>45732</v>
      </c>
      <c r="DZ78" s="32">
        <f t="shared" si="36"/>
        <v>45732</v>
      </c>
      <c r="EA78" s="32">
        <v>46052</v>
      </c>
      <c r="EB78" s="32" t="s">
        <v>404</v>
      </c>
      <c r="EC78" s="4">
        <v>0</v>
      </c>
      <c r="ED78" s="4"/>
      <c r="EE78" s="4"/>
      <c r="EF78" s="4">
        <v>0</v>
      </c>
      <c r="EG78" s="4"/>
      <c r="EH78" s="4"/>
      <c r="EI78" s="4"/>
      <c r="EJ78" s="26"/>
      <c r="EK78" s="26"/>
      <c r="EL78" s="26"/>
    </row>
    <row r="79" spans="1:142" hidden="1">
      <c r="A79" s="11">
        <v>76</v>
      </c>
      <c r="B79" s="110">
        <v>10918</v>
      </c>
      <c r="C79" s="5" t="s">
        <v>100</v>
      </c>
      <c r="D79" s="5">
        <v>1313438692</v>
      </c>
      <c r="E79" s="4" t="s">
        <v>33</v>
      </c>
      <c r="F79" s="59" t="s">
        <v>171</v>
      </c>
      <c r="G79" s="5" t="s">
        <v>94</v>
      </c>
      <c r="H79" s="4">
        <v>1</v>
      </c>
      <c r="I79" s="4" t="s">
        <v>1011</v>
      </c>
      <c r="J79" s="38">
        <f t="shared" si="35"/>
        <v>45498</v>
      </c>
      <c r="K79" s="38">
        <v>45498</v>
      </c>
      <c r="L79" s="32">
        <v>46200</v>
      </c>
      <c r="M79" s="4" t="s">
        <v>404</v>
      </c>
      <c r="N79" s="4">
        <v>1</v>
      </c>
      <c r="O79" s="4" t="s">
        <v>1024</v>
      </c>
      <c r="P79" s="32">
        <f t="shared" si="28"/>
        <v>45925</v>
      </c>
      <c r="Q79" s="39">
        <v>45925</v>
      </c>
      <c r="R79" s="32">
        <v>46200</v>
      </c>
      <c r="S79" s="39" t="s">
        <v>404</v>
      </c>
      <c r="T79" s="4">
        <v>1</v>
      </c>
      <c r="U79" s="4" t="s">
        <v>1042</v>
      </c>
      <c r="V79" s="32">
        <v>45818</v>
      </c>
      <c r="W79" s="32">
        <v>45818</v>
      </c>
      <c r="X79" s="32">
        <v>46200</v>
      </c>
      <c r="Y79" s="32" t="s">
        <v>404</v>
      </c>
      <c r="Z79" s="4">
        <v>0</v>
      </c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>
        <v>0</v>
      </c>
      <c r="AL79" s="4"/>
      <c r="AM79" s="4"/>
      <c r="AN79" s="4"/>
      <c r="AO79" s="4"/>
      <c r="AP79" s="4"/>
      <c r="AQ79" s="4"/>
      <c r="AR79" s="4"/>
      <c r="AS79" s="4"/>
      <c r="AT79" s="105"/>
      <c r="AU79" s="4"/>
      <c r="AV79" s="4">
        <v>0</v>
      </c>
      <c r="AW79" s="4"/>
      <c r="AX79" s="4"/>
      <c r="AY79" s="4"/>
      <c r="AZ79" s="4"/>
      <c r="BA79" s="4"/>
      <c r="BB79" s="4"/>
      <c r="BC79" s="4"/>
      <c r="BD79" s="4"/>
      <c r="BE79" s="105"/>
      <c r="BF79" s="4"/>
      <c r="BG79" s="4">
        <v>0</v>
      </c>
      <c r="BH79" s="4"/>
      <c r="BI79" s="4"/>
      <c r="BJ79" s="4"/>
      <c r="BK79" s="4"/>
      <c r="BL79" s="4"/>
      <c r="BM79" s="4"/>
      <c r="BN79" s="4"/>
      <c r="BO79" s="4"/>
      <c r="BP79" s="105"/>
      <c r="BQ79" s="4"/>
      <c r="BR79" s="4">
        <v>0</v>
      </c>
      <c r="BS79" s="4"/>
      <c r="BT79" s="4"/>
      <c r="BU79" s="4"/>
      <c r="BV79" s="4"/>
      <c r="BW79" s="4"/>
      <c r="BX79" s="4"/>
      <c r="BY79" s="4"/>
      <c r="BZ79" s="4"/>
      <c r="CA79" s="105"/>
      <c r="CB79" s="4"/>
      <c r="CC79" s="4"/>
      <c r="CD79" s="4"/>
      <c r="CE79" s="4"/>
      <c r="CF79" s="4"/>
      <c r="CG79" s="4"/>
      <c r="CH79" s="4"/>
      <c r="CI79" s="4">
        <v>0</v>
      </c>
      <c r="CJ79" s="4"/>
      <c r="CK79" s="4"/>
      <c r="CL79" s="4"/>
      <c r="CM79" s="105"/>
      <c r="CN79" s="4"/>
      <c r="CO79" s="4">
        <v>1</v>
      </c>
      <c r="CP79" s="4" t="s">
        <v>1073</v>
      </c>
      <c r="CQ79" s="39">
        <v>45557</v>
      </c>
      <c r="CR79" s="39">
        <v>45557</v>
      </c>
      <c r="CS79" s="32">
        <v>46200</v>
      </c>
      <c r="CT79" s="39" t="s">
        <v>404</v>
      </c>
      <c r="CU79" s="4">
        <v>0</v>
      </c>
      <c r="CV79" s="4"/>
      <c r="CW79" s="39"/>
      <c r="CX79" s="39"/>
      <c r="CY79" s="33"/>
      <c r="CZ79" s="34"/>
      <c r="DA79" s="31"/>
      <c r="DB79" s="31"/>
      <c r="DC79" s="31"/>
      <c r="DD79" s="31"/>
      <c r="DE79" s="4">
        <v>0</v>
      </c>
      <c r="DF79" s="4"/>
      <c r="DG79" s="4"/>
      <c r="DH79" s="4"/>
      <c r="DI79" s="4"/>
      <c r="DJ79" s="4"/>
      <c r="DK79" s="4">
        <v>0</v>
      </c>
      <c r="DL79" s="4"/>
      <c r="DM79" s="4"/>
      <c r="DN79" s="4"/>
      <c r="DO79" s="4"/>
      <c r="DP79" s="4"/>
      <c r="DQ79" s="31">
        <v>0</v>
      </c>
      <c r="DR79" s="31"/>
      <c r="DS79" s="39"/>
      <c r="DT79" s="32"/>
      <c r="DU79" s="32"/>
      <c r="DV79" s="32"/>
      <c r="DW79" s="4">
        <v>0</v>
      </c>
      <c r="DX79" s="4"/>
      <c r="DY79" s="4"/>
      <c r="DZ79" s="4"/>
      <c r="EA79" s="4"/>
      <c r="EB79" s="4"/>
      <c r="EC79" s="4">
        <v>0</v>
      </c>
      <c r="ED79" s="4"/>
      <c r="EE79" s="4"/>
      <c r="EF79" s="4">
        <v>0</v>
      </c>
      <c r="EG79" s="4"/>
      <c r="EH79" s="4"/>
      <c r="EI79" s="4"/>
      <c r="EJ79" s="26"/>
      <c r="EK79" s="26"/>
      <c r="EL79" s="26"/>
    </row>
    <row r="80" spans="1:142" hidden="1">
      <c r="A80" s="11">
        <v>77</v>
      </c>
      <c r="B80" s="104">
        <v>11044</v>
      </c>
      <c r="C80" s="131" t="s">
        <v>101</v>
      </c>
      <c r="D80" s="4">
        <v>1313438601</v>
      </c>
      <c r="E80" s="3" t="s">
        <v>30</v>
      </c>
      <c r="F80" s="59" t="s">
        <v>214</v>
      </c>
      <c r="G80" s="5" t="s">
        <v>94</v>
      </c>
      <c r="H80" s="4">
        <v>0</v>
      </c>
      <c r="I80" s="4"/>
      <c r="J80" s="32"/>
      <c r="K80" s="32"/>
      <c r="L80" s="32"/>
      <c r="M80" s="32"/>
      <c r="N80" s="4">
        <v>1</v>
      </c>
      <c r="O80" s="4" t="s">
        <v>1025</v>
      </c>
      <c r="P80" s="32">
        <f t="shared" si="28"/>
        <v>45161</v>
      </c>
      <c r="Q80" s="32">
        <v>45161</v>
      </c>
      <c r="R80" s="39">
        <v>46233</v>
      </c>
      <c r="S80" s="32" t="s">
        <v>404</v>
      </c>
      <c r="T80" s="4">
        <v>1</v>
      </c>
      <c r="U80" s="4" t="s">
        <v>1043</v>
      </c>
      <c r="V80" s="32">
        <v>45818</v>
      </c>
      <c r="W80" s="32">
        <v>45818</v>
      </c>
      <c r="X80" s="32">
        <v>46233</v>
      </c>
      <c r="Y80" s="32" t="s">
        <v>404</v>
      </c>
      <c r="Z80" s="5">
        <v>1</v>
      </c>
      <c r="AA80" s="5" t="s">
        <v>1053</v>
      </c>
      <c r="AB80" s="32">
        <f t="shared" ref="AB80" si="37">AC80</f>
        <v>45161</v>
      </c>
      <c r="AC80" s="32">
        <v>45161</v>
      </c>
      <c r="AD80" s="5"/>
      <c r="AE80" s="22">
        <v>44887</v>
      </c>
      <c r="AF80" s="22">
        <f>DATE(YEAR(AE80)+5,MONTH(AE80),DAY(AE80))</f>
        <v>46713</v>
      </c>
      <c r="AG80" s="5"/>
      <c r="AH80" s="36" t="s">
        <v>161</v>
      </c>
      <c r="AI80" s="32">
        <v>46233</v>
      </c>
      <c r="AJ80" s="5" t="s">
        <v>404</v>
      </c>
      <c r="AK80" s="4">
        <v>1</v>
      </c>
      <c r="AL80" s="4" t="s">
        <v>1056</v>
      </c>
      <c r="AM80" s="32">
        <v>45161</v>
      </c>
      <c r="AN80" s="32">
        <v>45161</v>
      </c>
      <c r="AO80" s="4"/>
      <c r="AP80" s="22">
        <v>44856</v>
      </c>
      <c r="AQ80" s="34">
        <v>46687</v>
      </c>
      <c r="AR80" s="22" t="s">
        <v>163</v>
      </c>
      <c r="AS80" s="22" t="s">
        <v>162</v>
      </c>
      <c r="AT80" s="38">
        <v>46233</v>
      </c>
      <c r="AU80" s="22" t="s">
        <v>404</v>
      </c>
      <c r="AV80" s="5">
        <v>1</v>
      </c>
      <c r="AW80" s="5" t="s">
        <v>1059</v>
      </c>
      <c r="AX80" s="32">
        <v>45161</v>
      </c>
      <c r="AY80" s="32">
        <v>45161</v>
      </c>
      <c r="AZ80" s="5"/>
      <c r="BA80" s="22">
        <v>44703</v>
      </c>
      <c r="BB80" s="34">
        <v>46529</v>
      </c>
      <c r="BC80" s="22" t="s">
        <v>163</v>
      </c>
      <c r="BD80" s="34" t="s">
        <v>1210</v>
      </c>
      <c r="BE80" s="32">
        <v>46233</v>
      </c>
      <c r="BF80" s="22" t="s">
        <v>404</v>
      </c>
      <c r="BG80" s="5">
        <v>1</v>
      </c>
      <c r="BH80" s="5" t="s">
        <v>1062</v>
      </c>
      <c r="BI80" s="32">
        <v>45161</v>
      </c>
      <c r="BJ80" s="32">
        <v>45161</v>
      </c>
      <c r="BK80" s="5"/>
      <c r="BL80" s="22">
        <v>44703</v>
      </c>
      <c r="BM80" s="34">
        <v>46529</v>
      </c>
      <c r="BN80" s="22" t="s">
        <v>163</v>
      </c>
      <c r="BO80" s="22" t="s">
        <v>164</v>
      </c>
      <c r="BP80" s="32">
        <v>46233</v>
      </c>
      <c r="BQ80" s="22" t="s">
        <v>404</v>
      </c>
      <c r="BR80" s="5">
        <v>1</v>
      </c>
      <c r="BS80" s="5" t="s">
        <v>1065</v>
      </c>
      <c r="BT80" s="32">
        <v>45161</v>
      </c>
      <c r="BU80" s="32">
        <v>45161</v>
      </c>
      <c r="BV80" s="5"/>
      <c r="BW80" s="23">
        <v>44483</v>
      </c>
      <c r="BX80" s="34">
        <v>46674</v>
      </c>
      <c r="BY80" s="22" t="s">
        <v>163</v>
      </c>
      <c r="BZ80" s="23" t="s">
        <v>165</v>
      </c>
      <c r="CA80" s="38">
        <v>46233</v>
      </c>
      <c r="CB80" s="22" t="s">
        <v>404</v>
      </c>
      <c r="CC80" s="23"/>
      <c r="CD80" s="23"/>
      <c r="CE80" s="23"/>
      <c r="CF80" s="23"/>
      <c r="CG80" s="23"/>
      <c r="CH80" s="23"/>
      <c r="CI80" s="31">
        <v>1</v>
      </c>
      <c r="CJ80" s="31" t="s">
        <v>1068</v>
      </c>
      <c r="CK80" s="32">
        <v>45577</v>
      </c>
      <c r="CL80" s="32">
        <v>45577</v>
      </c>
      <c r="CM80" s="105">
        <v>46233</v>
      </c>
      <c r="CN80" s="22" t="s">
        <v>404</v>
      </c>
      <c r="CO80" s="4">
        <v>0</v>
      </c>
      <c r="CP80" s="4"/>
      <c r="CQ80" s="39"/>
      <c r="CR80" s="39"/>
      <c r="CS80" s="39"/>
      <c r="CT80" s="39"/>
      <c r="CU80" s="4">
        <v>0</v>
      </c>
      <c r="CV80" s="4"/>
      <c r="CW80" s="39"/>
      <c r="CX80" s="39"/>
      <c r="CY80" s="33"/>
      <c r="CZ80" s="34"/>
      <c r="DA80" s="31"/>
      <c r="DB80" s="31"/>
      <c r="DC80" s="31"/>
      <c r="DD80" s="31"/>
      <c r="DE80" s="4">
        <v>1</v>
      </c>
      <c r="DF80" s="4" t="s">
        <v>1083</v>
      </c>
      <c r="DG80" s="39">
        <v>45732</v>
      </c>
      <c r="DH80" s="32">
        <f>DG80</f>
        <v>45732</v>
      </c>
      <c r="DI80" s="39">
        <v>46233</v>
      </c>
      <c r="DJ80" s="31" t="s">
        <v>404</v>
      </c>
      <c r="DK80" s="4">
        <v>0</v>
      </c>
      <c r="DL80" s="4"/>
      <c r="DM80" s="4"/>
      <c r="DN80" s="4"/>
      <c r="DO80" s="4"/>
      <c r="DP80" s="4"/>
      <c r="DQ80" s="31">
        <v>0</v>
      </c>
      <c r="DR80" s="31"/>
      <c r="DS80" s="39"/>
      <c r="DT80" s="32"/>
      <c r="DU80" s="32"/>
      <c r="DV80" s="32"/>
      <c r="DW80" s="4">
        <v>0</v>
      </c>
      <c r="DX80" s="4"/>
      <c r="DY80" s="39"/>
      <c r="DZ80" s="32"/>
      <c r="EA80" s="32"/>
      <c r="EB80" s="32"/>
      <c r="EC80" s="4">
        <v>0</v>
      </c>
      <c r="ED80" s="4"/>
      <c r="EE80" s="4"/>
      <c r="EF80" s="4">
        <v>0</v>
      </c>
      <c r="EG80" s="4"/>
      <c r="EH80" s="4"/>
      <c r="EI80" s="4"/>
      <c r="EJ80" s="26"/>
      <c r="EK80" s="26"/>
      <c r="EL80" s="26"/>
    </row>
    <row r="81" spans="1:142" hidden="1">
      <c r="A81" s="11">
        <v>78</v>
      </c>
      <c r="B81" s="109">
        <v>11226</v>
      </c>
      <c r="C81" s="5" t="s">
        <v>238</v>
      </c>
      <c r="D81" s="4">
        <v>1313088584</v>
      </c>
      <c r="E81" s="3" t="s">
        <v>35</v>
      </c>
      <c r="F81" s="59" t="s">
        <v>171</v>
      </c>
      <c r="G81" s="5" t="s">
        <v>94</v>
      </c>
      <c r="H81" s="4">
        <v>1</v>
      </c>
      <c r="I81" s="4" t="s">
        <v>1012</v>
      </c>
      <c r="J81" s="38">
        <f t="shared" ref="J81:J88" si="38">K81</f>
        <v>45498</v>
      </c>
      <c r="K81" s="38">
        <v>45498</v>
      </c>
      <c r="L81" s="32">
        <v>46200</v>
      </c>
      <c r="M81" s="4" t="s">
        <v>404</v>
      </c>
      <c r="N81" s="4">
        <v>1</v>
      </c>
      <c r="O81" s="4" t="s">
        <v>1026</v>
      </c>
      <c r="P81" s="32">
        <f t="shared" si="28"/>
        <v>45925</v>
      </c>
      <c r="Q81" s="39">
        <v>45925</v>
      </c>
      <c r="R81" s="32">
        <v>46200</v>
      </c>
      <c r="S81" s="39" t="s">
        <v>404</v>
      </c>
      <c r="T81" s="4">
        <v>1</v>
      </c>
      <c r="U81" s="4" t="s">
        <v>1035</v>
      </c>
      <c r="V81" s="32">
        <v>45818</v>
      </c>
      <c r="W81" s="32">
        <v>45818</v>
      </c>
      <c r="X81" s="32">
        <v>46200</v>
      </c>
      <c r="Y81" s="32" t="s">
        <v>404</v>
      </c>
      <c r="Z81" s="4">
        <v>0</v>
      </c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>
        <v>0</v>
      </c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>
        <v>0</v>
      </c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>
        <v>0</v>
      </c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>
        <v>0</v>
      </c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>
        <v>0</v>
      </c>
      <c r="CJ81" s="4"/>
      <c r="CK81" s="4"/>
      <c r="CL81" s="4"/>
      <c r="CM81" s="4"/>
      <c r="CN81" s="4"/>
      <c r="CO81" s="4">
        <v>1</v>
      </c>
      <c r="CP81" s="4" t="s">
        <v>1074</v>
      </c>
      <c r="CQ81" s="39">
        <v>45557</v>
      </c>
      <c r="CR81" s="39">
        <v>45557</v>
      </c>
      <c r="CS81" s="32">
        <v>46200</v>
      </c>
      <c r="CT81" s="39" t="s">
        <v>404</v>
      </c>
      <c r="CU81" s="4">
        <v>0</v>
      </c>
      <c r="CV81" s="4"/>
      <c r="CW81" s="39"/>
      <c r="CX81" s="39"/>
      <c r="CY81" s="33"/>
      <c r="CZ81" s="34"/>
      <c r="DA81" s="31"/>
      <c r="DB81" s="31"/>
      <c r="DC81" s="31"/>
      <c r="DD81" s="31"/>
      <c r="DE81" s="4">
        <v>0</v>
      </c>
      <c r="DF81" s="4"/>
      <c r="DG81" s="4"/>
      <c r="DH81" s="4"/>
      <c r="DI81" s="4"/>
      <c r="DJ81" s="4"/>
      <c r="DK81" s="4">
        <v>0</v>
      </c>
      <c r="DL81" s="4"/>
      <c r="DM81" s="4"/>
      <c r="DN81" s="4"/>
      <c r="DO81" s="4"/>
      <c r="DP81" s="4"/>
      <c r="DQ81" s="31">
        <v>0</v>
      </c>
      <c r="DR81" s="31"/>
      <c r="DS81" s="39"/>
      <c r="DT81" s="32"/>
      <c r="DU81" s="32"/>
      <c r="DV81" s="32"/>
      <c r="DW81" s="4">
        <v>0</v>
      </c>
      <c r="DX81" s="4"/>
      <c r="DY81" s="4"/>
      <c r="DZ81" s="4"/>
      <c r="EA81" s="4"/>
      <c r="EB81" s="4"/>
      <c r="EC81" s="4">
        <v>0</v>
      </c>
      <c r="ED81" s="4"/>
      <c r="EE81" s="4"/>
      <c r="EF81" s="4">
        <v>0</v>
      </c>
      <c r="EG81" s="4"/>
      <c r="EH81" s="4"/>
      <c r="EI81" s="4"/>
      <c r="EJ81" s="26"/>
      <c r="EK81" s="26"/>
      <c r="EL81" s="26"/>
    </row>
    <row r="82" spans="1:142" hidden="1">
      <c r="A82" s="11">
        <v>79</v>
      </c>
      <c r="B82" s="109">
        <v>11263</v>
      </c>
      <c r="C82" s="7" t="s">
        <v>102</v>
      </c>
      <c r="D82" s="5">
        <v>1313438699</v>
      </c>
      <c r="E82" s="5" t="s">
        <v>33</v>
      </c>
      <c r="F82" s="59" t="s">
        <v>171</v>
      </c>
      <c r="G82" s="5" t="s">
        <v>94</v>
      </c>
      <c r="H82" s="4">
        <v>1</v>
      </c>
      <c r="I82" s="4" t="s">
        <v>1013</v>
      </c>
      <c r="J82" s="38">
        <f t="shared" si="38"/>
        <v>45498</v>
      </c>
      <c r="K82" s="38">
        <v>45498</v>
      </c>
      <c r="L82" s="32">
        <v>46200</v>
      </c>
      <c r="M82" s="4" t="s">
        <v>404</v>
      </c>
      <c r="N82" s="4">
        <v>1</v>
      </c>
      <c r="O82" s="4" t="s">
        <v>1027</v>
      </c>
      <c r="P82" s="32">
        <f t="shared" si="28"/>
        <v>45925</v>
      </c>
      <c r="Q82" s="39">
        <v>45925</v>
      </c>
      <c r="R82" s="32">
        <v>46200</v>
      </c>
      <c r="S82" s="39" t="s">
        <v>404</v>
      </c>
      <c r="T82" s="4">
        <v>1</v>
      </c>
      <c r="U82" s="4" t="s">
        <v>1044</v>
      </c>
      <c r="V82" s="32">
        <v>45818</v>
      </c>
      <c r="W82" s="32">
        <v>45818</v>
      </c>
      <c r="X82" s="32">
        <v>46200</v>
      </c>
      <c r="Y82" s="32" t="s">
        <v>404</v>
      </c>
      <c r="Z82" s="4">
        <v>0</v>
      </c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>
        <v>0</v>
      </c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>
        <v>0</v>
      </c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>
        <v>0</v>
      </c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>
        <v>0</v>
      </c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>
        <v>0</v>
      </c>
      <c r="CJ82" s="4"/>
      <c r="CK82" s="4"/>
      <c r="CL82" s="4"/>
      <c r="CM82" s="4"/>
      <c r="CN82" s="4"/>
      <c r="CO82" s="4">
        <v>1</v>
      </c>
      <c r="CP82" s="4" t="s">
        <v>1075</v>
      </c>
      <c r="CQ82" s="39">
        <v>45557</v>
      </c>
      <c r="CR82" s="39">
        <v>45557</v>
      </c>
      <c r="CS82" s="32">
        <v>46200</v>
      </c>
      <c r="CT82" s="32" t="s">
        <v>405</v>
      </c>
      <c r="CU82" s="4">
        <v>0</v>
      </c>
      <c r="CV82" s="4"/>
      <c r="CW82" s="39"/>
      <c r="CX82" s="39"/>
      <c r="CY82" s="33"/>
      <c r="CZ82" s="34"/>
      <c r="DA82" s="31"/>
      <c r="DB82" s="31"/>
      <c r="DC82" s="31"/>
      <c r="DD82" s="31"/>
      <c r="DE82" s="4">
        <v>0</v>
      </c>
      <c r="DF82" s="4"/>
      <c r="DG82" s="4"/>
      <c r="DH82" s="4"/>
      <c r="DI82" s="4"/>
      <c r="DJ82" s="4"/>
      <c r="DK82" s="4">
        <v>0</v>
      </c>
      <c r="DL82" s="4"/>
      <c r="DM82" s="4"/>
      <c r="DN82" s="4"/>
      <c r="DO82" s="4"/>
      <c r="DP82" s="4"/>
      <c r="DQ82" s="31">
        <v>0</v>
      </c>
      <c r="DR82" s="31"/>
      <c r="DS82" s="39"/>
      <c r="DT82" s="32"/>
      <c r="DU82" s="32"/>
      <c r="DV82" s="32"/>
      <c r="DW82" s="4">
        <v>0</v>
      </c>
      <c r="DX82" s="4"/>
      <c r="DY82" s="4"/>
      <c r="DZ82" s="4"/>
      <c r="EA82" s="4"/>
      <c r="EB82" s="4"/>
      <c r="EC82" s="4">
        <v>0</v>
      </c>
      <c r="ED82" s="4"/>
      <c r="EE82" s="4"/>
      <c r="EF82" s="4">
        <v>0</v>
      </c>
      <c r="EG82" s="4"/>
      <c r="EH82" s="4"/>
      <c r="EI82" s="4"/>
      <c r="EJ82" s="26"/>
      <c r="EK82" s="26"/>
      <c r="EL82" s="26"/>
    </row>
    <row r="83" spans="1:142" hidden="1">
      <c r="A83" s="11">
        <v>80</v>
      </c>
      <c r="B83" s="109">
        <v>11265</v>
      </c>
      <c r="C83" s="5" t="s">
        <v>103</v>
      </c>
      <c r="D83" s="3">
        <v>1313438563</v>
      </c>
      <c r="E83" s="3" t="s">
        <v>41</v>
      </c>
      <c r="F83" s="59" t="s">
        <v>171</v>
      </c>
      <c r="G83" s="5" t="s">
        <v>94</v>
      </c>
      <c r="H83" s="4">
        <v>1</v>
      </c>
      <c r="I83" s="4" t="s">
        <v>1014</v>
      </c>
      <c r="J83" s="38">
        <f t="shared" si="38"/>
        <v>45498</v>
      </c>
      <c r="K83" s="38">
        <v>45498</v>
      </c>
      <c r="L83" s="32">
        <v>46200</v>
      </c>
      <c r="M83" s="4" t="s">
        <v>404</v>
      </c>
      <c r="N83" s="4">
        <v>1</v>
      </c>
      <c r="O83" s="4" t="s">
        <v>1028</v>
      </c>
      <c r="P83" s="32">
        <f t="shared" si="28"/>
        <v>45925</v>
      </c>
      <c r="Q83" s="39">
        <v>45925</v>
      </c>
      <c r="R83" s="32">
        <v>46200</v>
      </c>
      <c r="S83" s="39" t="s">
        <v>404</v>
      </c>
      <c r="T83" s="4">
        <v>1</v>
      </c>
      <c r="U83" s="4" t="s">
        <v>1045</v>
      </c>
      <c r="V83" s="32">
        <v>45818</v>
      </c>
      <c r="W83" s="32">
        <v>45818</v>
      </c>
      <c r="X83" s="32">
        <v>46200</v>
      </c>
      <c r="Y83" s="32" t="s">
        <v>405</v>
      </c>
      <c r="Z83" s="4">
        <v>0</v>
      </c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>
        <v>0</v>
      </c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>
        <v>0</v>
      </c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>
        <v>0</v>
      </c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>
        <v>0</v>
      </c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>
        <v>0</v>
      </c>
      <c r="CJ83" s="4"/>
      <c r="CK83" s="4"/>
      <c r="CL83" s="4"/>
      <c r="CM83" s="4"/>
      <c r="CN83" s="4"/>
      <c r="CO83" s="4">
        <v>0</v>
      </c>
      <c r="CP83" s="4"/>
      <c r="CQ83" s="39"/>
      <c r="CR83" s="39"/>
      <c r="CS83" s="39"/>
      <c r="CT83" s="39"/>
      <c r="CU83" s="4">
        <v>0</v>
      </c>
      <c r="CV83" s="4"/>
      <c r="CW83" s="39"/>
      <c r="CX83" s="39"/>
      <c r="CY83" s="33"/>
      <c r="CZ83" s="34"/>
      <c r="DA83" s="31"/>
      <c r="DB83" s="31"/>
      <c r="DC83" s="31"/>
      <c r="DD83" s="31"/>
      <c r="DE83" s="4">
        <v>0</v>
      </c>
      <c r="DF83" s="4"/>
      <c r="DG83" s="4"/>
      <c r="DH83" s="4"/>
      <c r="DI83" s="4"/>
      <c r="DJ83" s="4"/>
      <c r="DK83" s="4">
        <v>0</v>
      </c>
      <c r="DL83" s="4"/>
      <c r="DM83" s="4"/>
      <c r="DN83" s="4"/>
      <c r="DO83" s="4"/>
      <c r="DP83" s="4"/>
      <c r="DQ83" s="31">
        <v>0</v>
      </c>
      <c r="DR83" s="31"/>
      <c r="DS83" s="39"/>
      <c r="DT83" s="32"/>
      <c r="DU83" s="32"/>
      <c r="DV83" s="32"/>
      <c r="DW83" s="4">
        <v>1</v>
      </c>
      <c r="DX83" s="4" t="s">
        <v>1092</v>
      </c>
      <c r="DY83" s="39">
        <v>45732</v>
      </c>
      <c r="DZ83" s="32">
        <f t="shared" ref="DZ83" si="39">DY83</f>
        <v>45732</v>
      </c>
      <c r="EA83" s="32">
        <v>46052</v>
      </c>
      <c r="EB83" s="32" t="s">
        <v>404</v>
      </c>
      <c r="EC83" s="4">
        <v>0</v>
      </c>
      <c r="ED83" s="4"/>
      <c r="EE83" s="4"/>
      <c r="EF83" s="4">
        <v>0</v>
      </c>
      <c r="EG83" s="4"/>
      <c r="EH83" s="4"/>
      <c r="EI83" s="4"/>
      <c r="EJ83" s="26"/>
      <c r="EK83" s="26"/>
      <c r="EL83" s="26"/>
    </row>
    <row r="84" spans="1:142" hidden="1">
      <c r="A84" s="11">
        <v>81</v>
      </c>
      <c r="B84" s="109">
        <v>11304</v>
      </c>
      <c r="C84" s="9" t="s">
        <v>104</v>
      </c>
      <c r="D84" s="5">
        <v>1313088423</v>
      </c>
      <c r="E84" s="9" t="s">
        <v>40</v>
      </c>
      <c r="F84" s="59" t="s">
        <v>171</v>
      </c>
      <c r="G84" s="5" t="s">
        <v>94</v>
      </c>
      <c r="H84" s="4">
        <v>1</v>
      </c>
      <c r="I84" s="4" t="s">
        <v>1004</v>
      </c>
      <c r="J84" s="38">
        <f t="shared" si="38"/>
        <v>45498</v>
      </c>
      <c r="K84" s="38">
        <v>45498</v>
      </c>
      <c r="L84" s="32">
        <v>46200</v>
      </c>
      <c r="M84" s="4" t="s">
        <v>404</v>
      </c>
      <c r="N84" s="4">
        <v>1</v>
      </c>
      <c r="O84" s="4" t="s">
        <v>1029</v>
      </c>
      <c r="P84" s="32">
        <f t="shared" si="28"/>
        <v>45925</v>
      </c>
      <c r="Q84" s="39">
        <v>45925</v>
      </c>
      <c r="R84" s="32">
        <v>46200</v>
      </c>
      <c r="S84" s="39" t="s">
        <v>404</v>
      </c>
      <c r="T84" s="4">
        <v>1</v>
      </c>
      <c r="U84" s="4" t="s">
        <v>1046</v>
      </c>
      <c r="V84" s="32">
        <v>45818</v>
      </c>
      <c r="W84" s="32">
        <v>45818</v>
      </c>
      <c r="X84" s="32">
        <v>46200</v>
      </c>
      <c r="Y84" s="32" t="s">
        <v>404</v>
      </c>
      <c r="Z84" s="4">
        <v>0</v>
      </c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>
        <v>0</v>
      </c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>
        <v>0</v>
      </c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>
        <v>0</v>
      </c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>
        <v>0</v>
      </c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>
        <v>0</v>
      </c>
      <c r="CJ84" s="4"/>
      <c r="CK84" s="4"/>
      <c r="CL84" s="4"/>
      <c r="CM84" s="4"/>
      <c r="CN84" s="4"/>
      <c r="CO84" s="4">
        <v>0</v>
      </c>
      <c r="CP84" s="4"/>
      <c r="CQ84" s="39"/>
      <c r="CR84" s="39"/>
      <c r="CS84" s="39"/>
      <c r="CT84" s="39"/>
      <c r="CU84" s="4">
        <v>0</v>
      </c>
      <c r="CV84" s="4"/>
      <c r="CW84" s="39"/>
      <c r="CX84" s="39"/>
      <c r="CY84" s="33"/>
      <c r="CZ84" s="34"/>
      <c r="DA84" s="31"/>
      <c r="DB84" s="31"/>
      <c r="DC84" s="31"/>
      <c r="DD84" s="31"/>
      <c r="DE84" s="4">
        <v>0</v>
      </c>
      <c r="DF84" s="4"/>
      <c r="DG84" s="4"/>
      <c r="DH84" s="4"/>
      <c r="DI84" s="4"/>
      <c r="DJ84" s="4"/>
      <c r="DK84" s="4">
        <v>0</v>
      </c>
      <c r="DL84" s="4"/>
      <c r="DM84" s="4"/>
      <c r="DN84" s="4"/>
      <c r="DO84" s="4"/>
      <c r="DP84" s="4"/>
      <c r="DQ84" s="31">
        <v>0</v>
      </c>
      <c r="DR84" s="31"/>
      <c r="DS84" s="39"/>
      <c r="DT84" s="32"/>
      <c r="DU84" s="32"/>
      <c r="DV84" s="32"/>
      <c r="DW84" s="4">
        <v>0</v>
      </c>
      <c r="DX84" s="4"/>
      <c r="DY84" s="39"/>
      <c r="DZ84" s="32"/>
      <c r="EA84" s="32"/>
      <c r="EB84" s="32"/>
      <c r="EC84" s="4">
        <v>0</v>
      </c>
      <c r="ED84" s="4"/>
      <c r="EE84" s="4"/>
      <c r="EF84" s="4">
        <v>0</v>
      </c>
      <c r="EG84" s="4"/>
      <c r="EH84" s="4"/>
      <c r="EI84" s="4"/>
      <c r="EJ84" s="26"/>
      <c r="EK84" s="26"/>
      <c r="EL84" s="26"/>
    </row>
    <row r="85" spans="1:142" hidden="1">
      <c r="A85" s="11">
        <v>82</v>
      </c>
      <c r="B85" s="109">
        <v>11425</v>
      </c>
      <c r="C85" s="7" t="s">
        <v>105</v>
      </c>
      <c r="D85" s="5">
        <v>1313088460</v>
      </c>
      <c r="E85" s="4" t="s">
        <v>33</v>
      </c>
      <c r="F85" s="59" t="s">
        <v>171</v>
      </c>
      <c r="G85" s="5" t="s">
        <v>94</v>
      </c>
      <c r="H85" s="4">
        <v>1</v>
      </c>
      <c r="I85" s="4" t="s">
        <v>1015</v>
      </c>
      <c r="J85" s="38">
        <f t="shared" si="38"/>
        <v>45498</v>
      </c>
      <c r="K85" s="38">
        <v>45498</v>
      </c>
      <c r="L85" s="32">
        <v>46200</v>
      </c>
      <c r="M85" s="4" t="s">
        <v>404</v>
      </c>
      <c r="N85" s="4">
        <v>1</v>
      </c>
      <c r="O85" s="4" t="s">
        <v>1030</v>
      </c>
      <c r="P85" s="32">
        <f t="shared" si="28"/>
        <v>45925</v>
      </c>
      <c r="Q85" s="39">
        <v>45925</v>
      </c>
      <c r="R85" s="32">
        <v>46200</v>
      </c>
      <c r="S85" s="39" t="s">
        <v>404</v>
      </c>
      <c r="T85" s="4">
        <v>1</v>
      </c>
      <c r="U85" s="4" t="s">
        <v>1047</v>
      </c>
      <c r="V85" s="32">
        <v>45818</v>
      </c>
      <c r="W85" s="32">
        <v>45818</v>
      </c>
      <c r="X85" s="32">
        <v>46200</v>
      </c>
      <c r="Y85" s="32" t="s">
        <v>405</v>
      </c>
      <c r="Z85" s="4">
        <v>0</v>
      </c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>
        <v>0</v>
      </c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>
        <v>0</v>
      </c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>
        <v>0</v>
      </c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>
        <v>0</v>
      </c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>
        <v>0</v>
      </c>
      <c r="CJ85" s="4"/>
      <c r="CK85" s="4"/>
      <c r="CL85" s="4"/>
      <c r="CM85" s="4"/>
      <c r="CN85" s="4"/>
      <c r="CO85" s="4">
        <v>1</v>
      </c>
      <c r="CP85" s="4" t="s">
        <v>1075</v>
      </c>
      <c r="CQ85" s="39">
        <v>45557</v>
      </c>
      <c r="CR85" s="39">
        <v>45557</v>
      </c>
      <c r="CS85" s="32">
        <v>46200</v>
      </c>
      <c r="CT85" s="39" t="s">
        <v>404</v>
      </c>
      <c r="CU85" s="4">
        <v>0</v>
      </c>
      <c r="CV85" s="4"/>
      <c r="CW85" s="39"/>
      <c r="CX85" s="39"/>
      <c r="CY85" s="33"/>
      <c r="CZ85" s="34"/>
      <c r="DA85" s="31"/>
      <c r="DB85" s="31"/>
      <c r="DC85" s="31"/>
      <c r="DD85" s="31"/>
      <c r="DE85" s="4">
        <v>0</v>
      </c>
      <c r="DF85" s="4"/>
      <c r="DG85" s="4"/>
      <c r="DH85" s="4"/>
      <c r="DI85" s="4"/>
      <c r="DJ85" s="4"/>
      <c r="DK85" s="4">
        <v>0</v>
      </c>
      <c r="DL85" s="4"/>
      <c r="DM85" s="4"/>
      <c r="DN85" s="4"/>
      <c r="DO85" s="4"/>
      <c r="DP85" s="4"/>
      <c r="DQ85" s="31">
        <v>0</v>
      </c>
      <c r="DR85" s="31"/>
      <c r="DS85" s="39"/>
      <c r="DT85" s="32"/>
      <c r="DU85" s="32"/>
      <c r="DV85" s="32"/>
      <c r="DW85" s="4">
        <v>0</v>
      </c>
      <c r="DX85" s="4"/>
      <c r="DY85" s="4"/>
      <c r="DZ85" s="4"/>
      <c r="EA85" s="4"/>
      <c r="EB85" s="4"/>
      <c r="EC85" s="4">
        <v>0</v>
      </c>
      <c r="ED85" s="4"/>
      <c r="EE85" s="4"/>
      <c r="EF85" s="4">
        <v>0</v>
      </c>
      <c r="EG85" s="4"/>
      <c r="EH85" s="4"/>
      <c r="EI85" s="4"/>
      <c r="EJ85" s="26"/>
      <c r="EK85" s="26"/>
      <c r="EL85" s="26"/>
    </row>
    <row r="86" spans="1:142" hidden="1">
      <c r="A86" s="11">
        <v>83</v>
      </c>
      <c r="B86" s="109">
        <v>11427</v>
      </c>
      <c r="C86" s="7" t="s">
        <v>106</v>
      </c>
      <c r="D86" s="5">
        <v>1313088462</v>
      </c>
      <c r="E86" s="7" t="s">
        <v>55</v>
      </c>
      <c r="F86" s="59" t="s">
        <v>171</v>
      </c>
      <c r="G86" s="5" t="s">
        <v>94</v>
      </c>
      <c r="H86" s="4">
        <v>1</v>
      </c>
      <c r="I86" s="4" t="s">
        <v>1006</v>
      </c>
      <c r="J86" s="38">
        <f t="shared" si="38"/>
        <v>45498</v>
      </c>
      <c r="K86" s="38">
        <v>45498</v>
      </c>
      <c r="L86" s="32">
        <v>46200</v>
      </c>
      <c r="M86" s="4" t="s">
        <v>404</v>
      </c>
      <c r="N86" s="4">
        <v>1</v>
      </c>
      <c r="O86" s="4" t="s">
        <v>1031</v>
      </c>
      <c r="P86" s="32">
        <f t="shared" si="28"/>
        <v>45925</v>
      </c>
      <c r="Q86" s="39">
        <v>45925</v>
      </c>
      <c r="R86" s="32">
        <v>46200</v>
      </c>
      <c r="S86" s="39" t="s">
        <v>404</v>
      </c>
      <c r="T86" s="4">
        <v>1</v>
      </c>
      <c r="U86" s="4" t="s">
        <v>1048</v>
      </c>
      <c r="V86" s="32">
        <v>45818</v>
      </c>
      <c r="W86" s="32">
        <v>45818</v>
      </c>
      <c r="X86" s="32">
        <v>46200</v>
      </c>
      <c r="Y86" s="32" t="s">
        <v>404</v>
      </c>
      <c r="Z86" s="4">
        <v>0</v>
      </c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>
        <v>0</v>
      </c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>
        <v>0</v>
      </c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>
        <v>0</v>
      </c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>
        <v>0</v>
      </c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>
        <v>0</v>
      </c>
      <c r="CJ86" s="4"/>
      <c r="CK86" s="4"/>
      <c r="CL86" s="4"/>
      <c r="CM86" s="4"/>
      <c r="CN86" s="4"/>
      <c r="CO86" s="4">
        <v>0</v>
      </c>
      <c r="CP86" s="4"/>
      <c r="CQ86" s="39"/>
      <c r="CR86" s="39"/>
      <c r="CS86" s="39"/>
      <c r="CT86" s="39"/>
      <c r="CU86" s="4">
        <v>0</v>
      </c>
      <c r="CV86" s="4"/>
      <c r="CW86" s="39"/>
      <c r="CX86" s="39"/>
      <c r="CY86" s="33"/>
      <c r="CZ86" s="34"/>
      <c r="DA86" s="31"/>
      <c r="DB86" s="31"/>
      <c r="DC86" s="31"/>
      <c r="DD86" s="31"/>
      <c r="DE86" s="4">
        <v>0</v>
      </c>
      <c r="DF86" s="4"/>
      <c r="DG86" s="4"/>
      <c r="DH86" s="4"/>
      <c r="DI86" s="4"/>
      <c r="DJ86" s="4"/>
      <c r="DK86" s="4">
        <v>0</v>
      </c>
      <c r="DL86" s="4"/>
      <c r="DM86" s="4"/>
      <c r="DN86" s="4"/>
      <c r="DO86" s="4"/>
      <c r="DP86" s="4"/>
      <c r="DQ86" s="31">
        <v>1</v>
      </c>
      <c r="DR86" s="31" t="s">
        <v>1086</v>
      </c>
      <c r="DS86" s="39">
        <v>45812</v>
      </c>
      <c r="DT86" s="32">
        <f t="shared" si="30"/>
        <v>45812</v>
      </c>
      <c r="DU86" s="32">
        <v>46052</v>
      </c>
      <c r="DV86" s="32" t="s">
        <v>404</v>
      </c>
      <c r="DW86" s="4">
        <v>0</v>
      </c>
      <c r="DX86" s="4"/>
      <c r="DY86" s="4"/>
      <c r="DZ86" s="4"/>
      <c r="EA86" s="4"/>
      <c r="EB86" s="4"/>
      <c r="EC86" s="4">
        <v>0</v>
      </c>
      <c r="ED86" s="4"/>
      <c r="EE86" s="4"/>
      <c r="EF86" s="4">
        <v>0</v>
      </c>
      <c r="EG86" s="4"/>
      <c r="EH86" s="4"/>
      <c r="EI86" s="4"/>
      <c r="EJ86" s="26"/>
      <c r="EK86" s="26"/>
      <c r="EL86" s="26"/>
    </row>
    <row r="87" spans="1:142" ht="25.5" hidden="1">
      <c r="A87" s="11">
        <v>84</v>
      </c>
      <c r="B87" s="109">
        <v>11437</v>
      </c>
      <c r="C87" s="7" t="s">
        <v>107</v>
      </c>
      <c r="D87" s="3">
        <v>1313088552</v>
      </c>
      <c r="E87" s="5" t="s">
        <v>42</v>
      </c>
      <c r="F87" s="59" t="s">
        <v>171</v>
      </c>
      <c r="G87" s="5" t="s">
        <v>94</v>
      </c>
      <c r="H87" s="4">
        <v>1</v>
      </c>
      <c r="I87" s="4" t="s">
        <v>1008</v>
      </c>
      <c r="J87" s="38">
        <f t="shared" si="38"/>
        <v>45498</v>
      </c>
      <c r="K87" s="38">
        <v>45498</v>
      </c>
      <c r="L87" s="32">
        <v>46200</v>
      </c>
      <c r="M87" s="4" t="s">
        <v>404</v>
      </c>
      <c r="N87" s="4">
        <v>1</v>
      </c>
      <c r="O87" s="4" t="s">
        <v>1032</v>
      </c>
      <c r="P87" s="32">
        <f t="shared" si="28"/>
        <v>45925</v>
      </c>
      <c r="Q87" s="39">
        <v>45925</v>
      </c>
      <c r="R87" s="32">
        <v>46200</v>
      </c>
      <c r="S87" s="39" t="s">
        <v>404</v>
      </c>
      <c r="T87" s="4">
        <v>1</v>
      </c>
      <c r="U87" s="4" t="s">
        <v>1049</v>
      </c>
      <c r="V87" s="32">
        <v>45818</v>
      </c>
      <c r="W87" s="32">
        <v>45818</v>
      </c>
      <c r="X87" s="32">
        <v>46200</v>
      </c>
      <c r="Y87" s="32" t="s">
        <v>404</v>
      </c>
      <c r="Z87" s="4">
        <v>0</v>
      </c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>
        <v>0</v>
      </c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>
        <v>0</v>
      </c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>
        <v>0</v>
      </c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>
        <v>0</v>
      </c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>
        <v>0</v>
      </c>
      <c r="CJ87" s="4"/>
      <c r="CK87" s="4"/>
      <c r="CL87" s="4"/>
      <c r="CM87" s="4"/>
      <c r="CN87" s="4"/>
      <c r="CO87" s="4">
        <v>1</v>
      </c>
      <c r="CP87" s="4" t="s">
        <v>1076</v>
      </c>
      <c r="CQ87" s="39">
        <v>45557</v>
      </c>
      <c r="CR87" s="39">
        <v>45557</v>
      </c>
      <c r="CS87" s="32">
        <v>46200</v>
      </c>
      <c r="CT87" s="39" t="s">
        <v>404</v>
      </c>
      <c r="CU87" s="4">
        <v>1</v>
      </c>
      <c r="CV87" s="4" t="s">
        <v>1080</v>
      </c>
      <c r="CW87" s="39">
        <v>45557</v>
      </c>
      <c r="CX87" s="39">
        <v>45557</v>
      </c>
      <c r="CY87" s="33">
        <v>45658</v>
      </c>
      <c r="CZ87" s="34">
        <v>46388</v>
      </c>
      <c r="DA87" s="31" t="s">
        <v>166</v>
      </c>
      <c r="DB87" s="31" t="s">
        <v>167</v>
      </c>
      <c r="DC87" s="32">
        <v>46200</v>
      </c>
      <c r="DD87" s="31" t="s">
        <v>404</v>
      </c>
      <c r="DE87" s="4">
        <v>0</v>
      </c>
      <c r="DF87" s="4"/>
      <c r="DG87" s="4"/>
      <c r="DH87" s="4"/>
      <c r="DI87" s="4"/>
      <c r="DJ87" s="4"/>
      <c r="DK87" s="4">
        <v>0</v>
      </c>
      <c r="DL87" s="4"/>
      <c r="DM87" s="4"/>
      <c r="DN87" s="4"/>
      <c r="DO87" s="4"/>
      <c r="DP87" s="4"/>
      <c r="DQ87" s="31">
        <v>1</v>
      </c>
      <c r="DR87" s="31" t="s">
        <v>1087</v>
      </c>
      <c r="DS87" s="39">
        <v>45812</v>
      </c>
      <c r="DT87" s="32">
        <f t="shared" si="30"/>
        <v>45812</v>
      </c>
      <c r="DU87" s="32">
        <v>46052</v>
      </c>
      <c r="DV87" s="32" t="s">
        <v>404</v>
      </c>
      <c r="DW87" s="4">
        <v>0</v>
      </c>
      <c r="DX87" s="4"/>
      <c r="DY87" s="39"/>
      <c r="DZ87" s="32"/>
      <c r="EA87" s="32"/>
      <c r="EB87" s="32"/>
      <c r="EC87" s="4">
        <v>0</v>
      </c>
      <c r="ED87" s="4"/>
      <c r="EE87" s="4"/>
      <c r="EF87" s="4">
        <v>0</v>
      </c>
      <c r="EG87" s="4"/>
      <c r="EH87" s="4"/>
      <c r="EI87" s="4"/>
      <c r="EJ87" s="26"/>
      <c r="EK87" s="26"/>
      <c r="EL87" s="26"/>
    </row>
    <row r="88" spans="1:142" hidden="1">
      <c r="A88" s="11">
        <v>85</v>
      </c>
      <c r="B88" s="109">
        <v>11511</v>
      </c>
      <c r="C88" s="7" t="s">
        <v>108</v>
      </c>
      <c r="D88" s="6">
        <v>1313088424</v>
      </c>
      <c r="E88" s="7" t="s">
        <v>55</v>
      </c>
      <c r="F88" s="59" t="s">
        <v>171</v>
      </c>
      <c r="G88" s="5" t="s">
        <v>94</v>
      </c>
      <c r="H88" s="4">
        <v>1</v>
      </c>
      <c r="I88" s="4" t="s">
        <v>1016</v>
      </c>
      <c r="J88" s="38">
        <f t="shared" si="38"/>
        <v>45498</v>
      </c>
      <c r="K88" s="38">
        <v>45498</v>
      </c>
      <c r="L88" s="32">
        <v>46200</v>
      </c>
      <c r="M88" s="4" t="s">
        <v>404</v>
      </c>
      <c r="N88" s="4">
        <v>1</v>
      </c>
      <c r="O88" s="4" t="s">
        <v>1033</v>
      </c>
      <c r="P88" s="32">
        <f t="shared" si="28"/>
        <v>45925</v>
      </c>
      <c r="Q88" s="39">
        <v>45925</v>
      </c>
      <c r="R88" s="32">
        <v>46200</v>
      </c>
      <c r="S88" s="39" t="s">
        <v>404</v>
      </c>
      <c r="T88" s="4">
        <v>1</v>
      </c>
      <c r="U88" s="4" t="s">
        <v>1050</v>
      </c>
      <c r="V88" s="32">
        <v>45818</v>
      </c>
      <c r="W88" s="32">
        <v>45818</v>
      </c>
      <c r="X88" s="32">
        <v>46200</v>
      </c>
      <c r="Y88" s="32" t="s">
        <v>404</v>
      </c>
      <c r="Z88" s="4">
        <v>0</v>
      </c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>
        <v>0</v>
      </c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>
        <v>0</v>
      </c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>
        <v>0</v>
      </c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>
        <v>0</v>
      </c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>
        <v>0</v>
      </c>
      <c r="CJ88" s="4"/>
      <c r="CK88" s="4"/>
      <c r="CL88" s="4"/>
      <c r="CM88" s="4"/>
      <c r="CN88" s="4"/>
      <c r="CO88" s="4">
        <v>0</v>
      </c>
      <c r="CP88" s="4"/>
      <c r="CQ88" s="39"/>
      <c r="CR88" s="39"/>
      <c r="CS88" s="32">
        <v>46200</v>
      </c>
      <c r="CT88" s="39"/>
      <c r="CU88" s="4">
        <v>0</v>
      </c>
      <c r="CV88" s="4"/>
      <c r="CW88" s="39"/>
      <c r="CX88" s="39"/>
      <c r="CY88" s="33"/>
      <c r="CZ88" s="34"/>
      <c r="DA88" s="31"/>
      <c r="DB88" s="31"/>
      <c r="DC88" s="31"/>
      <c r="DD88" s="31"/>
      <c r="DE88" s="4">
        <v>0</v>
      </c>
      <c r="DF88" s="4"/>
      <c r="DG88" s="4"/>
      <c r="DH88" s="4"/>
      <c r="DI88" s="4"/>
      <c r="DJ88" s="4"/>
      <c r="DK88" s="4">
        <v>0</v>
      </c>
      <c r="DL88" s="4"/>
      <c r="DM88" s="4"/>
      <c r="DN88" s="4"/>
      <c r="DO88" s="4"/>
      <c r="DP88" s="4"/>
      <c r="DQ88" s="31">
        <v>1</v>
      </c>
      <c r="DR88" s="31" t="s">
        <v>1088</v>
      </c>
      <c r="DS88" s="39">
        <v>45812</v>
      </c>
      <c r="DT88" s="32">
        <f t="shared" si="30"/>
        <v>45812</v>
      </c>
      <c r="DU88" s="32">
        <v>46052</v>
      </c>
      <c r="DV88" s="32" t="s">
        <v>404</v>
      </c>
      <c r="DW88" s="4">
        <v>0</v>
      </c>
      <c r="DX88" s="4"/>
      <c r="DY88" s="4"/>
      <c r="DZ88" s="4"/>
      <c r="EA88" s="4"/>
      <c r="EB88" s="4"/>
      <c r="EC88" s="4">
        <v>0</v>
      </c>
      <c r="ED88" s="4"/>
      <c r="EE88" s="4"/>
      <c r="EF88" s="4">
        <v>0</v>
      </c>
      <c r="EG88" s="4"/>
      <c r="EH88" s="4"/>
      <c r="EI88" s="4"/>
      <c r="EJ88" s="26"/>
      <c r="EK88" s="26"/>
      <c r="EL88" s="26"/>
    </row>
    <row r="89" spans="1:142" hidden="1">
      <c r="A89" s="11">
        <v>86</v>
      </c>
      <c r="B89" s="115">
        <v>6653</v>
      </c>
      <c r="C89" s="10" t="s">
        <v>110</v>
      </c>
      <c r="D89" s="10">
        <v>1313088516</v>
      </c>
      <c r="E89" s="10" t="s">
        <v>26</v>
      </c>
      <c r="F89" s="26" t="s">
        <v>171</v>
      </c>
      <c r="G89" s="10" t="s">
        <v>109</v>
      </c>
      <c r="H89" s="10">
        <v>1</v>
      </c>
      <c r="I89" s="10" t="s">
        <v>1096</v>
      </c>
      <c r="J89" s="43">
        <f>K89</f>
        <v>45584</v>
      </c>
      <c r="K89" s="43">
        <v>45584</v>
      </c>
      <c r="L89" s="32">
        <v>46200</v>
      </c>
      <c r="M89" s="43" t="s">
        <v>404</v>
      </c>
      <c r="N89" s="10">
        <v>1</v>
      </c>
      <c r="O89" s="10" t="s">
        <v>1110</v>
      </c>
      <c r="P89" s="32">
        <f t="shared" si="28"/>
        <v>45926</v>
      </c>
      <c r="Q89" s="43">
        <v>45926</v>
      </c>
      <c r="R89" s="32">
        <v>46200</v>
      </c>
      <c r="S89" s="43" t="s">
        <v>404</v>
      </c>
      <c r="T89" s="10">
        <v>1</v>
      </c>
      <c r="U89" s="10" t="s">
        <v>1124</v>
      </c>
      <c r="V89" s="43">
        <f>W89</f>
        <v>45683</v>
      </c>
      <c r="W89" s="43">
        <v>45683</v>
      </c>
      <c r="X89" s="32">
        <v>46200</v>
      </c>
      <c r="Y89" s="43" t="s">
        <v>404</v>
      </c>
      <c r="Z89" s="11">
        <v>0</v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>
        <v>0</v>
      </c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>
        <v>0</v>
      </c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>
        <v>0</v>
      </c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>
        <v>0</v>
      </c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4">
        <v>0</v>
      </c>
      <c r="CJ89" s="4"/>
      <c r="CK89" s="4"/>
      <c r="CL89" s="4"/>
      <c r="CM89" s="4"/>
      <c r="CN89" s="4"/>
      <c r="CO89" s="4">
        <v>1</v>
      </c>
      <c r="CP89" s="4" t="s">
        <v>1156</v>
      </c>
      <c r="CQ89" s="39">
        <v>45818</v>
      </c>
      <c r="CR89" s="39">
        <v>45818</v>
      </c>
      <c r="CS89" s="32">
        <v>46200</v>
      </c>
      <c r="CT89" s="39" t="s">
        <v>404</v>
      </c>
      <c r="CU89" s="4">
        <v>1</v>
      </c>
      <c r="CV89" s="4" t="s">
        <v>1170</v>
      </c>
      <c r="CW89" s="39">
        <v>45557</v>
      </c>
      <c r="CX89" s="39">
        <v>45557</v>
      </c>
      <c r="CY89" s="33">
        <v>45658</v>
      </c>
      <c r="CZ89" s="34">
        <v>46388</v>
      </c>
      <c r="DA89" s="31" t="s">
        <v>166</v>
      </c>
      <c r="DB89" s="31" t="s">
        <v>167</v>
      </c>
      <c r="DC89" s="32">
        <v>46200</v>
      </c>
      <c r="DD89" s="31" t="s">
        <v>405</v>
      </c>
      <c r="DE89" s="11">
        <v>0</v>
      </c>
      <c r="DF89" s="11"/>
      <c r="DG89" s="11"/>
      <c r="DH89" s="11"/>
      <c r="DI89" s="11"/>
      <c r="DJ89" s="11"/>
      <c r="DK89" s="11">
        <v>0</v>
      </c>
      <c r="DL89" s="11"/>
      <c r="DM89" s="11"/>
      <c r="DN89" s="11"/>
      <c r="DO89" s="11"/>
      <c r="DP89" s="11"/>
      <c r="DQ89" s="31">
        <v>1</v>
      </c>
      <c r="DR89" s="31" t="s">
        <v>1178</v>
      </c>
      <c r="DS89" s="39">
        <v>45812</v>
      </c>
      <c r="DT89" s="32">
        <f t="shared" si="30"/>
        <v>45812</v>
      </c>
      <c r="DU89" s="32">
        <v>46052</v>
      </c>
      <c r="DV89" s="32" t="s">
        <v>405</v>
      </c>
      <c r="DW89" s="4">
        <v>0</v>
      </c>
      <c r="DX89" s="4"/>
      <c r="DY89" s="4"/>
      <c r="DZ89" s="4"/>
      <c r="EA89" s="32">
        <v>46052</v>
      </c>
      <c r="EB89" s="4"/>
      <c r="EC89" s="11">
        <v>0</v>
      </c>
      <c r="ED89" s="11"/>
      <c r="EE89" s="11"/>
      <c r="EF89" s="11">
        <v>0</v>
      </c>
      <c r="EG89" s="11"/>
      <c r="EH89" s="11"/>
      <c r="EI89" s="11"/>
      <c r="EJ89" s="26"/>
      <c r="EK89" s="26"/>
      <c r="EL89" s="26"/>
    </row>
    <row r="90" spans="1:142" hidden="1">
      <c r="A90" s="11">
        <v>87</v>
      </c>
      <c r="B90" s="115">
        <v>8204</v>
      </c>
      <c r="C90" s="10" t="s">
        <v>111</v>
      </c>
      <c r="D90" s="10">
        <v>1313088187</v>
      </c>
      <c r="E90" s="10" t="s">
        <v>41</v>
      </c>
      <c r="F90" s="26" t="s">
        <v>171</v>
      </c>
      <c r="G90" s="10" t="s">
        <v>109</v>
      </c>
      <c r="H90" s="10">
        <v>1</v>
      </c>
      <c r="I90" s="10" t="s">
        <v>1097</v>
      </c>
      <c r="J90" s="43">
        <f t="shared" ref="J90:J102" si="40">K90</f>
        <v>45925</v>
      </c>
      <c r="K90" s="43">
        <v>45925</v>
      </c>
      <c r="L90" s="32">
        <v>46200</v>
      </c>
      <c r="M90" s="43" t="s">
        <v>404</v>
      </c>
      <c r="N90" s="10">
        <v>1</v>
      </c>
      <c r="O90" s="10" t="s">
        <v>1111</v>
      </c>
      <c r="P90" s="32">
        <f t="shared" si="28"/>
        <v>45926</v>
      </c>
      <c r="Q90" s="43">
        <v>45926</v>
      </c>
      <c r="R90" s="32">
        <v>46200</v>
      </c>
      <c r="S90" s="43" t="s">
        <v>404</v>
      </c>
      <c r="T90" s="10">
        <v>1</v>
      </c>
      <c r="U90" s="10" t="s">
        <v>1125</v>
      </c>
      <c r="V90" s="43">
        <f t="shared" ref="V90:V102" si="41">W90</f>
        <v>45681</v>
      </c>
      <c r="W90" s="43">
        <v>45681</v>
      </c>
      <c r="X90" s="32">
        <v>46200</v>
      </c>
      <c r="Y90" s="32" t="s">
        <v>405</v>
      </c>
      <c r="Z90" s="11">
        <v>0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>
        <v>0</v>
      </c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>
        <v>0</v>
      </c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>
        <v>0</v>
      </c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>
        <v>0</v>
      </c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>
        <v>0</v>
      </c>
      <c r="CJ90" s="11"/>
      <c r="CK90" s="11"/>
      <c r="CL90" s="11"/>
      <c r="CM90" s="11"/>
      <c r="CN90" s="11"/>
      <c r="CO90" s="11">
        <v>1</v>
      </c>
      <c r="CP90" s="4" t="s">
        <v>1158</v>
      </c>
      <c r="CQ90" s="39">
        <v>45818</v>
      </c>
      <c r="CR90" s="39">
        <v>45818</v>
      </c>
      <c r="CS90" s="32">
        <v>46200</v>
      </c>
      <c r="CT90" s="32" t="s">
        <v>405</v>
      </c>
      <c r="CU90" s="10">
        <v>1</v>
      </c>
      <c r="CV90" s="4" t="s">
        <v>1171</v>
      </c>
      <c r="CW90" s="39">
        <v>45557</v>
      </c>
      <c r="CX90" s="39">
        <v>45557</v>
      </c>
      <c r="CY90" s="33">
        <v>45658</v>
      </c>
      <c r="CZ90" s="34">
        <v>46388</v>
      </c>
      <c r="DA90" s="31" t="s">
        <v>166</v>
      </c>
      <c r="DB90" s="31" t="s">
        <v>167</v>
      </c>
      <c r="DC90" s="32">
        <v>46200</v>
      </c>
      <c r="DD90" s="31" t="s">
        <v>404</v>
      </c>
      <c r="DE90" s="11">
        <v>0</v>
      </c>
      <c r="DF90" s="11"/>
      <c r="DG90" s="11"/>
      <c r="DH90" s="11"/>
      <c r="DI90" s="11"/>
      <c r="DJ90" s="11"/>
      <c r="DK90" s="11">
        <v>0</v>
      </c>
      <c r="DL90" s="11"/>
      <c r="DM90" s="11"/>
      <c r="DN90" s="11"/>
      <c r="DO90" s="11"/>
      <c r="DP90" s="11"/>
      <c r="DQ90" s="31">
        <v>1</v>
      </c>
      <c r="DR90" s="31" t="s">
        <v>1180</v>
      </c>
      <c r="DS90" s="43">
        <v>45404</v>
      </c>
      <c r="DT90" s="32">
        <f t="shared" si="30"/>
        <v>45404</v>
      </c>
      <c r="DU90" s="32">
        <v>46052</v>
      </c>
      <c r="DV90" s="32" t="s">
        <v>404</v>
      </c>
      <c r="DW90" s="4">
        <v>1</v>
      </c>
      <c r="DX90" s="4" t="s">
        <v>1192</v>
      </c>
      <c r="DY90" s="43">
        <v>45772</v>
      </c>
      <c r="DZ90" s="32">
        <f>DY90</f>
        <v>45772</v>
      </c>
      <c r="EA90" s="32">
        <v>46052</v>
      </c>
      <c r="EB90" s="32" t="s">
        <v>404</v>
      </c>
      <c r="EC90" s="11">
        <v>0</v>
      </c>
      <c r="ED90" s="11"/>
      <c r="EE90" s="11"/>
      <c r="EF90" s="11">
        <v>0</v>
      </c>
      <c r="EG90" s="11"/>
      <c r="EH90" s="11"/>
      <c r="EI90" s="11"/>
      <c r="EJ90" s="26"/>
      <c r="EK90" s="26"/>
      <c r="EL90" s="26"/>
    </row>
    <row r="91" spans="1:142" hidden="1">
      <c r="A91" s="11">
        <v>88</v>
      </c>
      <c r="B91" s="115">
        <v>8289</v>
      </c>
      <c r="C91" s="10" t="s">
        <v>112</v>
      </c>
      <c r="D91" s="10">
        <v>1313088127</v>
      </c>
      <c r="E91" s="10" t="s">
        <v>113</v>
      </c>
      <c r="F91" s="26" t="s">
        <v>171</v>
      </c>
      <c r="G91" s="10" t="s">
        <v>109</v>
      </c>
      <c r="H91" s="10">
        <v>1</v>
      </c>
      <c r="I91" s="10" t="s">
        <v>1098</v>
      </c>
      <c r="J91" s="43">
        <f t="shared" si="40"/>
        <v>45458</v>
      </c>
      <c r="K91" s="43">
        <v>45458</v>
      </c>
      <c r="L91" s="32">
        <v>46200</v>
      </c>
      <c r="M91" s="32" t="s">
        <v>405</v>
      </c>
      <c r="N91" s="10">
        <v>1</v>
      </c>
      <c r="O91" s="10" t="s">
        <v>1112</v>
      </c>
      <c r="P91" s="32">
        <f t="shared" si="28"/>
        <v>45926</v>
      </c>
      <c r="Q91" s="43">
        <v>45926</v>
      </c>
      <c r="R91" s="32">
        <v>46200</v>
      </c>
      <c r="S91" s="43" t="s">
        <v>404</v>
      </c>
      <c r="T91" s="10">
        <v>1</v>
      </c>
      <c r="U91" s="10" t="s">
        <v>1126</v>
      </c>
      <c r="V91" s="43">
        <f t="shared" si="41"/>
        <v>45681</v>
      </c>
      <c r="W91" s="43">
        <v>45681</v>
      </c>
      <c r="X91" s="32">
        <v>46200</v>
      </c>
      <c r="Y91" s="43" t="s">
        <v>404</v>
      </c>
      <c r="Z91" s="11">
        <v>0</v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>
        <v>0</v>
      </c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>
        <v>0</v>
      </c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>
        <v>0</v>
      </c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>
        <v>0</v>
      </c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>
        <v>0</v>
      </c>
      <c r="CJ91" s="11"/>
      <c r="CK91" s="11"/>
      <c r="CL91" s="11"/>
      <c r="CM91" s="11"/>
      <c r="CN91" s="11"/>
      <c r="CO91" s="11">
        <v>1</v>
      </c>
      <c r="CP91" s="4" t="s">
        <v>1159</v>
      </c>
      <c r="CQ91" s="39">
        <v>45818</v>
      </c>
      <c r="CR91" s="39">
        <v>45818</v>
      </c>
      <c r="CS91" s="32">
        <v>46200</v>
      </c>
      <c r="CT91" s="32" t="s">
        <v>405</v>
      </c>
      <c r="CU91" s="4">
        <v>1</v>
      </c>
      <c r="CV91" s="4" t="s">
        <v>1172</v>
      </c>
      <c r="CW91" s="39">
        <v>45557</v>
      </c>
      <c r="CX91" s="39">
        <v>45557</v>
      </c>
      <c r="CY91" s="33">
        <v>45658</v>
      </c>
      <c r="CZ91" s="34">
        <v>46388</v>
      </c>
      <c r="DA91" s="31" t="s">
        <v>166</v>
      </c>
      <c r="DB91" s="31" t="s">
        <v>167</v>
      </c>
      <c r="DC91" s="32">
        <v>46200</v>
      </c>
      <c r="DD91" s="31" t="s">
        <v>405</v>
      </c>
      <c r="DE91" s="11">
        <v>0</v>
      </c>
      <c r="DF91" s="11"/>
      <c r="DG91" s="11"/>
      <c r="DH91" s="11"/>
      <c r="DI91" s="11"/>
      <c r="DJ91" s="11"/>
      <c r="DK91" s="11">
        <v>0</v>
      </c>
      <c r="DL91" s="11"/>
      <c r="DM91" s="11"/>
      <c r="DN91" s="11"/>
      <c r="DO91" s="11"/>
      <c r="DP91" s="11"/>
      <c r="DQ91" s="31">
        <v>1</v>
      </c>
      <c r="DR91" s="31" t="s">
        <v>1181</v>
      </c>
      <c r="DS91" s="43">
        <v>45404</v>
      </c>
      <c r="DT91" s="32">
        <f t="shared" si="30"/>
        <v>45404</v>
      </c>
      <c r="DU91" s="32">
        <v>46052</v>
      </c>
      <c r="DV91" s="32" t="s">
        <v>405</v>
      </c>
      <c r="DW91" s="4">
        <v>0</v>
      </c>
      <c r="DX91" s="4"/>
      <c r="DY91" s="4"/>
      <c r="DZ91" s="4"/>
      <c r="EA91" s="32">
        <v>46052</v>
      </c>
      <c r="EB91" s="4"/>
      <c r="EC91" s="11">
        <v>0</v>
      </c>
      <c r="ED91" s="11"/>
      <c r="EE91" s="11"/>
      <c r="EF91" s="11">
        <v>0</v>
      </c>
      <c r="EG91" s="11"/>
      <c r="EH91" s="11"/>
      <c r="EI91" s="11"/>
      <c r="EJ91" s="26"/>
      <c r="EK91" s="26"/>
      <c r="EL91" s="26"/>
    </row>
    <row r="92" spans="1:142" hidden="1">
      <c r="A92" s="11">
        <v>89</v>
      </c>
      <c r="B92" s="115">
        <v>8638</v>
      </c>
      <c r="C92" s="10" t="s">
        <v>114</v>
      </c>
      <c r="D92" s="10">
        <v>1313088175</v>
      </c>
      <c r="E92" s="10" t="s">
        <v>26</v>
      </c>
      <c r="F92" s="26" t="s">
        <v>171</v>
      </c>
      <c r="G92" s="10" t="s">
        <v>109</v>
      </c>
      <c r="H92" s="10">
        <v>1</v>
      </c>
      <c r="I92" s="10" t="s">
        <v>1099</v>
      </c>
      <c r="J92" s="43">
        <f t="shared" si="40"/>
        <v>45311</v>
      </c>
      <c r="K92" s="43">
        <v>45311</v>
      </c>
      <c r="L92" s="32">
        <v>46200</v>
      </c>
      <c r="M92" s="32" t="s">
        <v>405</v>
      </c>
      <c r="N92" s="10">
        <v>1</v>
      </c>
      <c r="O92" s="10" t="s">
        <v>1113</v>
      </c>
      <c r="P92" s="32">
        <f t="shared" si="28"/>
        <v>45926</v>
      </c>
      <c r="Q92" s="43">
        <v>45926</v>
      </c>
      <c r="R92" s="32">
        <v>46200</v>
      </c>
      <c r="S92" s="43" t="s">
        <v>404</v>
      </c>
      <c r="T92" s="10">
        <v>1</v>
      </c>
      <c r="U92" s="10" t="s">
        <v>1127</v>
      </c>
      <c r="V92" s="43">
        <f t="shared" si="41"/>
        <v>45677</v>
      </c>
      <c r="W92" s="43">
        <v>45677</v>
      </c>
      <c r="X92" s="32">
        <v>46200</v>
      </c>
      <c r="Y92" s="43" t="s">
        <v>404</v>
      </c>
      <c r="Z92" s="11">
        <v>0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>
        <v>0</v>
      </c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>
        <v>0</v>
      </c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>
        <v>0</v>
      </c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>
        <v>0</v>
      </c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4">
        <v>0</v>
      </c>
      <c r="CJ92" s="4"/>
      <c r="CK92" s="4"/>
      <c r="CL92" s="4"/>
      <c r="CM92" s="4"/>
      <c r="CN92" s="4"/>
      <c r="CO92" s="4">
        <v>1</v>
      </c>
      <c r="CP92" s="4" t="s">
        <v>1160</v>
      </c>
      <c r="CQ92" s="39">
        <v>45818</v>
      </c>
      <c r="CR92" s="39">
        <v>45818</v>
      </c>
      <c r="CS92" s="32">
        <v>46200</v>
      </c>
      <c r="CT92" s="39" t="s">
        <v>404</v>
      </c>
      <c r="CU92" s="4">
        <v>1</v>
      </c>
      <c r="CV92" s="4" t="s">
        <v>1173</v>
      </c>
      <c r="CW92" s="39">
        <v>45557</v>
      </c>
      <c r="CX92" s="39">
        <v>45557</v>
      </c>
      <c r="CY92" s="33">
        <v>45658</v>
      </c>
      <c r="CZ92" s="34">
        <v>46388</v>
      </c>
      <c r="DA92" s="31" t="s">
        <v>166</v>
      </c>
      <c r="DB92" s="31" t="s">
        <v>167</v>
      </c>
      <c r="DC92" s="32">
        <v>46200</v>
      </c>
      <c r="DD92" s="31" t="s">
        <v>404</v>
      </c>
      <c r="DE92" s="11">
        <v>0</v>
      </c>
      <c r="DF92" s="11"/>
      <c r="DG92" s="11"/>
      <c r="DH92" s="11"/>
      <c r="DI92" s="11"/>
      <c r="DJ92" s="11"/>
      <c r="DK92" s="11">
        <v>0</v>
      </c>
      <c r="DL92" s="11"/>
      <c r="DM92" s="11"/>
      <c r="DN92" s="11"/>
      <c r="DO92" s="11"/>
      <c r="DP92" s="11"/>
      <c r="DQ92" s="31">
        <v>1</v>
      </c>
      <c r="DR92" s="31" t="s">
        <v>1182</v>
      </c>
      <c r="DS92" s="43">
        <v>45404</v>
      </c>
      <c r="DT92" s="32">
        <f t="shared" si="30"/>
        <v>45404</v>
      </c>
      <c r="DU92" s="32">
        <v>46052</v>
      </c>
      <c r="DV92" s="32" t="s">
        <v>404</v>
      </c>
      <c r="DW92" s="4">
        <v>0</v>
      </c>
      <c r="DX92" s="4"/>
      <c r="DY92" s="4"/>
      <c r="DZ92" s="4"/>
      <c r="EA92" s="32">
        <v>46052</v>
      </c>
      <c r="EB92" s="4"/>
      <c r="EC92" s="11">
        <v>0</v>
      </c>
      <c r="ED92" s="11"/>
      <c r="EE92" s="11"/>
      <c r="EF92" s="11">
        <v>0</v>
      </c>
      <c r="EG92" s="11"/>
      <c r="EH92" s="11"/>
      <c r="EI92" s="11"/>
      <c r="EJ92" s="26"/>
      <c r="EK92" s="26"/>
      <c r="EL92" s="26"/>
    </row>
    <row r="93" spans="1:142" hidden="1">
      <c r="A93" s="11">
        <v>90</v>
      </c>
      <c r="B93" s="115">
        <v>9311</v>
      </c>
      <c r="C93" s="127" t="s">
        <v>115</v>
      </c>
      <c r="D93" s="13">
        <v>1313088201</v>
      </c>
      <c r="E93" s="10" t="s">
        <v>30</v>
      </c>
      <c r="F93" s="26" t="s">
        <v>214</v>
      </c>
      <c r="G93" s="10" t="s">
        <v>109</v>
      </c>
      <c r="H93" s="10">
        <v>1</v>
      </c>
      <c r="I93" s="10" t="s">
        <v>1100</v>
      </c>
      <c r="J93" s="43">
        <f t="shared" si="40"/>
        <v>45161</v>
      </c>
      <c r="K93" s="32">
        <v>45161</v>
      </c>
      <c r="L93" s="32">
        <v>46200</v>
      </c>
      <c r="M93" s="43" t="s">
        <v>404</v>
      </c>
      <c r="N93" s="10">
        <v>1</v>
      </c>
      <c r="O93" s="10" t="s">
        <v>1114</v>
      </c>
      <c r="P93" s="32">
        <f t="shared" si="28"/>
        <v>45161</v>
      </c>
      <c r="Q93" s="32">
        <v>45161</v>
      </c>
      <c r="R93" s="32">
        <v>46200</v>
      </c>
      <c r="S93" s="43" t="s">
        <v>404</v>
      </c>
      <c r="T93" s="10">
        <v>1</v>
      </c>
      <c r="U93" s="10" t="s">
        <v>1128</v>
      </c>
      <c r="V93" s="43">
        <f t="shared" si="41"/>
        <v>45682</v>
      </c>
      <c r="W93" s="43">
        <v>45682</v>
      </c>
      <c r="X93" s="32">
        <v>46200</v>
      </c>
      <c r="Y93" s="43" t="s">
        <v>404</v>
      </c>
      <c r="Z93" s="10">
        <v>1</v>
      </c>
      <c r="AA93" s="10" t="s">
        <v>1138</v>
      </c>
      <c r="AB93" s="32">
        <f t="shared" ref="AB93" si="42">AC93</f>
        <v>45161</v>
      </c>
      <c r="AC93" s="32">
        <v>45161</v>
      </c>
      <c r="AD93" s="10"/>
      <c r="AE93" s="22">
        <v>44887</v>
      </c>
      <c r="AF93" s="22">
        <f>DATE(YEAR(AE93)+5,MONTH(AE93),DAY(AE93))</f>
        <v>46713</v>
      </c>
      <c r="AG93" s="5"/>
      <c r="AH93" s="36" t="s">
        <v>161</v>
      </c>
      <c r="AI93" s="32">
        <v>46200</v>
      </c>
      <c r="AJ93" s="43" t="s">
        <v>404</v>
      </c>
      <c r="AK93" s="10">
        <v>1</v>
      </c>
      <c r="AL93" s="10" t="s">
        <v>1141</v>
      </c>
      <c r="AM93" s="32">
        <v>45161</v>
      </c>
      <c r="AN93" s="32">
        <v>45161</v>
      </c>
      <c r="AO93" s="44" t="s">
        <v>203</v>
      </c>
      <c r="AP93" s="22">
        <v>44856</v>
      </c>
      <c r="AQ93" s="34">
        <v>46687</v>
      </c>
      <c r="AR93" s="22" t="s">
        <v>163</v>
      </c>
      <c r="AS93" s="22" t="s">
        <v>162</v>
      </c>
      <c r="AT93" s="32">
        <v>46233</v>
      </c>
      <c r="AU93" s="43" t="s">
        <v>404</v>
      </c>
      <c r="AV93" s="10">
        <v>1</v>
      </c>
      <c r="AW93" s="10" t="s">
        <v>1144</v>
      </c>
      <c r="AX93" s="32">
        <v>45161</v>
      </c>
      <c r="AY93" s="32">
        <v>45161</v>
      </c>
      <c r="AZ93" s="44" t="s">
        <v>204</v>
      </c>
      <c r="BA93" s="22">
        <v>44703</v>
      </c>
      <c r="BB93" s="34">
        <v>46529</v>
      </c>
      <c r="BC93" s="22" t="s">
        <v>163</v>
      </c>
      <c r="BD93" s="34" t="s">
        <v>1210</v>
      </c>
      <c r="BE93" s="32">
        <v>46233</v>
      </c>
      <c r="BF93" s="43" t="s">
        <v>404</v>
      </c>
      <c r="BG93" s="10">
        <v>1</v>
      </c>
      <c r="BH93" s="10" t="s">
        <v>1147</v>
      </c>
      <c r="BI93" s="32">
        <v>45161</v>
      </c>
      <c r="BJ93" s="32">
        <v>45161</v>
      </c>
      <c r="BK93" s="44" t="s">
        <v>205</v>
      </c>
      <c r="BL93" s="22">
        <v>44703</v>
      </c>
      <c r="BM93" s="34">
        <v>46529</v>
      </c>
      <c r="BN93" s="22" t="s">
        <v>163</v>
      </c>
      <c r="BO93" s="22" t="s">
        <v>164</v>
      </c>
      <c r="BP93" s="32">
        <v>46233</v>
      </c>
      <c r="BQ93" s="43" t="s">
        <v>404</v>
      </c>
      <c r="BR93" s="10">
        <v>1</v>
      </c>
      <c r="BS93" s="10" t="s">
        <v>1150</v>
      </c>
      <c r="BT93" s="32">
        <v>45161</v>
      </c>
      <c r="BU93" s="32">
        <v>45161</v>
      </c>
      <c r="BV93" s="44" t="s">
        <v>206</v>
      </c>
      <c r="BW93" s="23">
        <v>44483</v>
      </c>
      <c r="BX93" s="34">
        <v>46674</v>
      </c>
      <c r="BY93" s="22" t="s">
        <v>163</v>
      </c>
      <c r="BZ93" s="23" t="s">
        <v>165</v>
      </c>
      <c r="CA93" s="32">
        <v>46233</v>
      </c>
      <c r="CB93" s="43" t="s">
        <v>404</v>
      </c>
      <c r="CC93" s="23"/>
      <c r="CD93" s="23"/>
      <c r="CE93" s="23"/>
      <c r="CF93" s="23"/>
      <c r="CG93" s="23"/>
      <c r="CH93" s="23"/>
      <c r="CI93" s="31">
        <v>1</v>
      </c>
      <c r="CJ93" s="31" t="s">
        <v>1153</v>
      </c>
      <c r="CK93" s="32">
        <v>45577</v>
      </c>
      <c r="CL93" s="32">
        <v>45577</v>
      </c>
      <c r="CM93" s="43">
        <v>46052</v>
      </c>
      <c r="CN93" s="43" t="s">
        <v>404</v>
      </c>
      <c r="CO93" s="4">
        <v>1</v>
      </c>
      <c r="CP93" s="4" t="s">
        <v>1161</v>
      </c>
      <c r="CQ93" s="39">
        <v>45818</v>
      </c>
      <c r="CR93" s="39">
        <v>45818</v>
      </c>
      <c r="CS93" s="32">
        <v>46200</v>
      </c>
      <c r="CT93" s="39" t="s">
        <v>404</v>
      </c>
      <c r="CU93" s="4">
        <v>0</v>
      </c>
      <c r="CV93" s="4"/>
      <c r="CW93" s="39">
        <v>45557</v>
      </c>
      <c r="CX93" s="39">
        <v>45557</v>
      </c>
      <c r="CY93" s="33">
        <v>45658</v>
      </c>
      <c r="CZ93" s="34">
        <v>46388</v>
      </c>
      <c r="DA93" s="31" t="s">
        <v>166</v>
      </c>
      <c r="DB93" s="31" t="s">
        <v>167</v>
      </c>
      <c r="DC93" s="32">
        <v>46200</v>
      </c>
      <c r="DD93" s="31"/>
      <c r="DE93" s="11">
        <v>0</v>
      </c>
      <c r="DF93" s="11"/>
      <c r="DG93" s="11"/>
      <c r="DH93" s="11"/>
      <c r="DI93" s="11"/>
      <c r="DJ93" s="11"/>
      <c r="DK93" s="11">
        <v>0</v>
      </c>
      <c r="DL93" s="11"/>
      <c r="DM93" s="11"/>
      <c r="DN93" s="11"/>
      <c r="DO93" s="11"/>
      <c r="DP93" s="11"/>
      <c r="DQ93" s="31">
        <v>1</v>
      </c>
      <c r="DR93" s="31" t="s">
        <v>1183</v>
      </c>
      <c r="DS93" s="43">
        <v>45767</v>
      </c>
      <c r="DT93" s="32">
        <f t="shared" si="30"/>
        <v>45767</v>
      </c>
      <c r="DU93" s="32">
        <v>46052</v>
      </c>
      <c r="DV93" s="32" t="s">
        <v>404</v>
      </c>
      <c r="DW93" s="4">
        <v>0</v>
      </c>
      <c r="DX93" s="4"/>
      <c r="DY93" s="43"/>
      <c r="DZ93" s="32"/>
      <c r="EA93" s="32">
        <v>46052</v>
      </c>
      <c r="EB93" s="32"/>
      <c r="EC93" s="11">
        <v>0</v>
      </c>
      <c r="ED93" s="11"/>
      <c r="EE93" s="11"/>
      <c r="EF93" s="11">
        <v>0</v>
      </c>
      <c r="EG93" s="11"/>
      <c r="EH93" s="11"/>
      <c r="EI93" s="11"/>
      <c r="EJ93" s="26"/>
      <c r="EK93" s="26"/>
      <c r="EL93" s="26"/>
    </row>
    <row r="94" spans="1:142" hidden="1">
      <c r="A94" s="11">
        <v>91</v>
      </c>
      <c r="B94" s="115">
        <v>9769</v>
      </c>
      <c r="C94" s="10" t="s">
        <v>116</v>
      </c>
      <c r="D94" s="10">
        <v>1313438538</v>
      </c>
      <c r="E94" s="10" t="s">
        <v>35</v>
      </c>
      <c r="F94" s="26" t="s">
        <v>171</v>
      </c>
      <c r="G94" s="10" t="s">
        <v>109</v>
      </c>
      <c r="H94" s="10">
        <v>1</v>
      </c>
      <c r="I94" s="10" t="s">
        <v>1101</v>
      </c>
      <c r="J94" s="43">
        <f t="shared" si="40"/>
        <v>45311</v>
      </c>
      <c r="K94" s="43">
        <v>45311</v>
      </c>
      <c r="L94" s="32">
        <v>46200</v>
      </c>
      <c r="M94" s="43" t="s">
        <v>404</v>
      </c>
      <c r="N94" s="10">
        <v>1</v>
      </c>
      <c r="O94" s="10" t="s">
        <v>1115</v>
      </c>
      <c r="P94" s="32">
        <f t="shared" si="28"/>
        <v>45926</v>
      </c>
      <c r="Q94" s="43">
        <v>45926</v>
      </c>
      <c r="R94" s="32">
        <v>46200</v>
      </c>
      <c r="S94" s="43" t="s">
        <v>404</v>
      </c>
      <c r="T94" s="10">
        <v>1</v>
      </c>
      <c r="U94" s="10" t="s">
        <v>1129</v>
      </c>
      <c r="V94" s="43">
        <f t="shared" si="41"/>
        <v>45823</v>
      </c>
      <c r="W94" s="43">
        <v>45823</v>
      </c>
      <c r="X94" s="32">
        <v>46200</v>
      </c>
      <c r="Y94" s="43" t="s">
        <v>404</v>
      </c>
      <c r="Z94" s="11">
        <v>0</v>
      </c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>
        <v>0</v>
      </c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>
        <v>0</v>
      </c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>
        <v>0</v>
      </c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>
        <v>0</v>
      </c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>
        <v>0</v>
      </c>
      <c r="CJ94" s="11"/>
      <c r="CK94" s="11"/>
      <c r="CL94" s="11"/>
      <c r="CM94" s="11"/>
      <c r="CN94" s="11"/>
      <c r="CO94" s="4">
        <v>1</v>
      </c>
      <c r="CP94" s="4" t="s">
        <v>1162</v>
      </c>
      <c r="CQ94" s="39">
        <v>45818</v>
      </c>
      <c r="CR94" s="39">
        <v>45818</v>
      </c>
      <c r="CS94" s="32">
        <v>46200</v>
      </c>
      <c r="CT94" s="39" t="s">
        <v>404</v>
      </c>
      <c r="CU94" s="11">
        <v>0</v>
      </c>
      <c r="CV94" s="11"/>
      <c r="CW94" s="39">
        <v>45557</v>
      </c>
      <c r="CX94" s="39">
        <v>45557</v>
      </c>
      <c r="CY94" s="33">
        <v>45658</v>
      </c>
      <c r="CZ94" s="34">
        <v>46388</v>
      </c>
      <c r="DA94" s="31" t="s">
        <v>166</v>
      </c>
      <c r="DB94" s="31" t="s">
        <v>167</v>
      </c>
      <c r="DC94" s="32">
        <v>46200</v>
      </c>
      <c r="DD94" s="31"/>
      <c r="DE94" s="11">
        <v>1</v>
      </c>
      <c r="DF94" s="11" t="s">
        <v>1177</v>
      </c>
      <c r="DG94" s="39">
        <v>45732</v>
      </c>
      <c r="DH94" s="32">
        <f>DG94</f>
        <v>45732</v>
      </c>
      <c r="DI94" s="43">
        <v>46052</v>
      </c>
      <c r="DJ94" s="31" t="s">
        <v>404</v>
      </c>
      <c r="DK94" s="11">
        <v>0</v>
      </c>
      <c r="DL94" s="11"/>
      <c r="DM94" s="11"/>
      <c r="DN94" s="11"/>
      <c r="DO94" s="11"/>
      <c r="DP94" s="11"/>
      <c r="DQ94" s="31">
        <v>1</v>
      </c>
      <c r="DR94" s="31" t="s">
        <v>1184</v>
      </c>
      <c r="DS94" s="43">
        <v>45767</v>
      </c>
      <c r="DT94" s="32">
        <f t="shared" si="30"/>
        <v>45767</v>
      </c>
      <c r="DU94" s="32">
        <v>46052</v>
      </c>
      <c r="DV94" s="32" t="s">
        <v>404</v>
      </c>
      <c r="DW94" s="11">
        <v>0</v>
      </c>
      <c r="DX94" s="11"/>
      <c r="DY94" s="11"/>
      <c r="DZ94" s="11"/>
      <c r="EA94" s="32">
        <v>46052</v>
      </c>
      <c r="EB94" s="11"/>
      <c r="EC94" s="11">
        <v>0</v>
      </c>
      <c r="ED94" s="11"/>
      <c r="EE94" s="11"/>
      <c r="EF94" s="11">
        <v>0</v>
      </c>
      <c r="EG94" s="11"/>
      <c r="EH94" s="11"/>
      <c r="EI94" s="11"/>
      <c r="EJ94" s="26"/>
      <c r="EK94" s="26"/>
      <c r="EL94" s="26"/>
    </row>
    <row r="95" spans="1:142" hidden="1">
      <c r="A95" s="11">
        <v>92</v>
      </c>
      <c r="B95" s="115">
        <v>10102</v>
      </c>
      <c r="C95" s="126" t="s">
        <v>117</v>
      </c>
      <c r="D95" s="13">
        <v>1313088263</v>
      </c>
      <c r="E95" s="10" t="s">
        <v>118</v>
      </c>
      <c r="F95" s="26" t="s">
        <v>214</v>
      </c>
      <c r="G95" s="10" t="s">
        <v>109</v>
      </c>
      <c r="H95" s="10">
        <v>1</v>
      </c>
      <c r="I95" s="10" t="s">
        <v>1102</v>
      </c>
      <c r="J95" s="43">
        <f t="shared" si="40"/>
        <v>45818</v>
      </c>
      <c r="K95" s="43">
        <v>45818</v>
      </c>
      <c r="L95" s="32">
        <v>46200</v>
      </c>
      <c r="M95" s="43" t="s">
        <v>404</v>
      </c>
      <c r="N95" s="10">
        <v>1</v>
      </c>
      <c r="O95" s="10" t="s">
        <v>1116</v>
      </c>
      <c r="P95" s="32">
        <f t="shared" si="28"/>
        <v>45461</v>
      </c>
      <c r="Q95" s="43">
        <v>45461</v>
      </c>
      <c r="R95" s="32">
        <v>46200</v>
      </c>
      <c r="S95" s="43" t="s">
        <v>404</v>
      </c>
      <c r="T95" s="10">
        <v>1</v>
      </c>
      <c r="U95" s="10" t="s">
        <v>1130</v>
      </c>
      <c r="V95" s="43">
        <f t="shared" si="41"/>
        <v>45682</v>
      </c>
      <c r="W95" s="43">
        <v>45682</v>
      </c>
      <c r="X95" s="32">
        <v>46200</v>
      </c>
      <c r="Y95" s="32" t="s">
        <v>405</v>
      </c>
      <c r="Z95" s="10">
        <v>1</v>
      </c>
      <c r="AA95" s="10" t="s">
        <v>1139</v>
      </c>
      <c r="AB95" s="43">
        <v>45310</v>
      </c>
      <c r="AC95" s="43">
        <v>45310</v>
      </c>
      <c r="AD95" s="10"/>
      <c r="AE95" s="22">
        <v>44887</v>
      </c>
      <c r="AF95" s="22">
        <f>DATE(YEAR(AE95)+5,MONTH(AE95),DAY(AE95))</f>
        <v>46713</v>
      </c>
      <c r="AG95" s="5"/>
      <c r="AH95" s="36" t="s">
        <v>161</v>
      </c>
      <c r="AI95" s="32">
        <v>46200</v>
      </c>
      <c r="AJ95" s="43" t="s">
        <v>404</v>
      </c>
      <c r="AK95" s="10">
        <v>1</v>
      </c>
      <c r="AL95" s="10" t="s">
        <v>1142</v>
      </c>
      <c r="AM95" s="32">
        <v>45161</v>
      </c>
      <c r="AN95" s="43">
        <v>44998</v>
      </c>
      <c r="AO95" s="10" t="s">
        <v>207</v>
      </c>
      <c r="AP95" s="22">
        <v>44856</v>
      </c>
      <c r="AQ95" s="34">
        <v>46687</v>
      </c>
      <c r="AR95" s="22" t="s">
        <v>163</v>
      </c>
      <c r="AS95" s="22" t="s">
        <v>162</v>
      </c>
      <c r="AT95" s="32">
        <v>46233</v>
      </c>
      <c r="AU95" s="43" t="s">
        <v>404</v>
      </c>
      <c r="AV95" s="10">
        <v>1</v>
      </c>
      <c r="AW95" s="10" t="s">
        <v>1145</v>
      </c>
      <c r="AX95" s="32">
        <v>45161</v>
      </c>
      <c r="AY95" s="32">
        <v>45161</v>
      </c>
      <c r="AZ95" s="10" t="s">
        <v>207</v>
      </c>
      <c r="BA95" s="22">
        <v>44703</v>
      </c>
      <c r="BB95" s="34">
        <v>46529</v>
      </c>
      <c r="BC95" s="22" t="s">
        <v>163</v>
      </c>
      <c r="BD95" s="34" t="s">
        <v>1210</v>
      </c>
      <c r="BE95" s="32">
        <v>46233</v>
      </c>
      <c r="BF95" s="43" t="s">
        <v>404</v>
      </c>
      <c r="BG95" s="10">
        <v>1</v>
      </c>
      <c r="BH95" s="10" t="s">
        <v>1148</v>
      </c>
      <c r="BI95" s="32">
        <v>45161</v>
      </c>
      <c r="BJ95" s="32">
        <v>45161</v>
      </c>
      <c r="BK95" s="10" t="s">
        <v>207</v>
      </c>
      <c r="BL95" s="22">
        <v>44703</v>
      </c>
      <c r="BM95" s="34">
        <v>46529</v>
      </c>
      <c r="BN95" s="22" t="s">
        <v>163</v>
      </c>
      <c r="BO95" s="22" t="s">
        <v>164</v>
      </c>
      <c r="BP95" s="32">
        <v>46233</v>
      </c>
      <c r="BQ95" s="43" t="s">
        <v>404</v>
      </c>
      <c r="BR95" s="10">
        <v>1</v>
      </c>
      <c r="BS95" s="10" t="s">
        <v>1151</v>
      </c>
      <c r="BT95" s="32">
        <v>45161</v>
      </c>
      <c r="BU95" s="32">
        <v>45161</v>
      </c>
      <c r="BV95" s="10" t="s">
        <v>207</v>
      </c>
      <c r="BW95" s="23">
        <v>44483</v>
      </c>
      <c r="BX95" s="34">
        <v>46674</v>
      </c>
      <c r="BY95" s="22" t="s">
        <v>163</v>
      </c>
      <c r="BZ95" s="23" t="s">
        <v>165</v>
      </c>
      <c r="CA95" s="32">
        <v>46233</v>
      </c>
      <c r="CB95" s="43" t="s">
        <v>404</v>
      </c>
      <c r="CC95" s="23"/>
      <c r="CD95" s="23"/>
      <c r="CE95" s="23"/>
      <c r="CF95" s="23"/>
      <c r="CG95" s="23"/>
      <c r="CH95" s="23"/>
      <c r="CI95" s="31">
        <v>1</v>
      </c>
      <c r="CJ95" s="31" t="s">
        <v>1154</v>
      </c>
      <c r="CK95" s="32">
        <v>45577</v>
      </c>
      <c r="CL95" s="32">
        <v>45577</v>
      </c>
      <c r="CM95" s="43">
        <v>46200</v>
      </c>
      <c r="CN95" s="43" t="s">
        <v>404</v>
      </c>
      <c r="CO95" s="4">
        <v>1</v>
      </c>
      <c r="CP95" s="4" t="s">
        <v>1163</v>
      </c>
      <c r="CQ95" s="39">
        <v>45818</v>
      </c>
      <c r="CR95" s="39">
        <v>45818</v>
      </c>
      <c r="CS95" s="32">
        <v>46200</v>
      </c>
      <c r="CT95" s="39" t="s">
        <v>404</v>
      </c>
      <c r="CU95" s="11">
        <v>1</v>
      </c>
      <c r="CV95" s="4" t="s">
        <v>1174</v>
      </c>
      <c r="CW95" s="39">
        <v>45557</v>
      </c>
      <c r="CX95" s="39">
        <v>45557</v>
      </c>
      <c r="CY95" s="33">
        <v>45658</v>
      </c>
      <c r="CZ95" s="34">
        <v>46388</v>
      </c>
      <c r="DA95" s="31" t="s">
        <v>166</v>
      </c>
      <c r="DB95" s="31" t="s">
        <v>167</v>
      </c>
      <c r="DC95" s="32">
        <v>46200</v>
      </c>
      <c r="DD95" s="31" t="s">
        <v>404</v>
      </c>
      <c r="DE95" s="11">
        <v>0</v>
      </c>
      <c r="DF95" s="11"/>
      <c r="DG95" s="11"/>
      <c r="DH95" s="11"/>
      <c r="DI95" s="11"/>
      <c r="DJ95" s="11"/>
      <c r="DK95" s="11">
        <v>0</v>
      </c>
      <c r="DL95" s="11"/>
      <c r="DM95" s="11"/>
      <c r="DN95" s="11"/>
      <c r="DO95" s="11"/>
      <c r="DP95" s="11"/>
      <c r="DQ95" s="31">
        <v>1</v>
      </c>
      <c r="DR95" s="31" t="s">
        <v>1185</v>
      </c>
      <c r="DS95" s="43">
        <v>45767</v>
      </c>
      <c r="DT95" s="32">
        <f t="shared" si="30"/>
        <v>45767</v>
      </c>
      <c r="DU95" s="32">
        <v>46052</v>
      </c>
      <c r="DV95" s="32" t="s">
        <v>405</v>
      </c>
      <c r="DW95" s="4">
        <v>0</v>
      </c>
      <c r="DX95" s="4"/>
      <c r="DY95" s="4"/>
      <c r="DZ95" s="4"/>
      <c r="EA95" s="32">
        <v>46052</v>
      </c>
      <c r="EB95" s="4"/>
      <c r="EC95" s="11">
        <v>0</v>
      </c>
      <c r="ED95" s="11"/>
      <c r="EE95" s="11"/>
      <c r="EF95" s="11">
        <v>0</v>
      </c>
      <c r="EG95" s="11"/>
      <c r="EH95" s="11"/>
      <c r="EI95" s="11"/>
      <c r="EJ95" s="26"/>
      <c r="EK95" s="26"/>
      <c r="EL95" s="26"/>
    </row>
    <row r="96" spans="1:142" hidden="1">
      <c r="A96" s="11">
        <v>93</v>
      </c>
      <c r="B96" s="115">
        <v>9975</v>
      </c>
      <c r="C96" s="10" t="s">
        <v>119</v>
      </c>
      <c r="D96" s="10">
        <v>1313088432</v>
      </c>
      <c r="E96" s="10" t="s">
        <v>44</v>
      </c>
      <c r="F96" s="26" t="s">
        <v>171</v>
      </c>
      <c r="G96" s="10" t="s">
        <v>109</v>
      </c>
      <c r="H96" s="10">
        <v>1</v>
      </c>
      <c r="I96" s="10" t="s">
        <v>1103</v>
      </c>
      <c r="J96" s="43">
        <f t="shared" si="40"/>
        <v>45002</v>
      </c>
      <c r="K96" s="43">
        <v>45002</v>
      </c>
      <c r="L96" s="32">
        <v>46200</v>
      </c>
      <c r="M96" s="32" t="s">
        <v>405</v>
      </c>
      <c r="N96" s="10">
        <v>1</v>
      </c>
      <c r="O96" s="10" t="s">
        <v>1117</v>
      </c>
      <c r="P96" s="32">
        <f t="shared" si="28"/>
        <v>45926</v>
      </c>
      <c r="Q96" s="43">
        <v>45926</v>
      </c>
      <c r="R96" s="32">
        <v>46200</v>
      </c>
      <c r="S96" s="43" t="s">
        <v>404</v>
      </c>
      <c r="T96" s="10">
        <v>1</v>
      </c>
      <c r="U96" s="10" t="s">
        <v>1131</v>
      </c>
      <c r="V96" s="43">
        <f t="shared" si="41"/>
        <v>45685</v>
      </c>
      <c r="W96" s="43">
        <v>45685</v>
      </c>
      <c r="X96" s="32">
        <v>46200</v>
      </c>
      <c r="Y96" s="43" t="s">
        <v>404</v>
      </c>
      <c r="Z96" s="11">
        <v>0</v>
      </c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>
        <v>0</v>
      </c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>
        <v>0</v>
      </c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>
        <v>0</v>
      </c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>
        <v>0</v>
      </c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>
        <v>0</v>
      </c>
      <c r="CJ96" s="11"/>
      <c r="CK96" s="11"/>
      <c r="CL96" s="11"/>
      <c r="CM96" s="11"/>
      <c r="CN96" s="11"/>
      <c r="CO96" s="4">
        <v>1</v>
      </c>
      <c r="CP96" s="4" t="s">
        <v>1164</v>
      </c>
      <c r="CQ96" s="39">
        <v>45818</v>
      </c>
      <c r="CR96" s="39">
        <v>45818</v>
      </c>
      <c r="CS96" s="32">
        <v>46200</v>
      </c>
      <c r="CT96" s="39" t="s">
        <v>404</v>
      </c>
      <c r="CU96" s="11">
        <v>0</v>
      </c>
      <c r="CV96" s="11"/>
      <c r="CW96" s="39">
        <v>45557</v>
      </c>
      <c r="CX96" s="39">
        <v>45557</v>
      </c>
      <c r="CY96" s="33">
        <v>45658</v>
      </c>
      <c r="CZ96" s="34">
        <v>46388</v>
      </c>
      <c r="DA96" s="31" t="s">
        <v>166</v>
      </c>
      <c r="DB96" s="31" t="s">
        <v>167</v>
      </c>
      <c r="DC96" s="32">
        <v>46200</v>
      </c>
      <c r="DD96" s="31"/>
      <c r="DE96" s="11">
        <v>0</v>
      </c>
      <c r="DF96" s="11"/>
      <c r="DG96" s="11"/>
      <c r="DH96" s="11"/>
      <c r="DI96" s="11"/>
      <c r="DJ96" s="11"/>
      <c r="DK96" s="11">
        <v>0</v>
      </c>
      <c r="DL96" s="11"/>
      <c r="DM96" s="11"/>
      <c r="DN96" s="11"/>
      <c r="DO96" s="11"/>
      <c r="DP96" s="11"/>
      <c r="DQ96" s="31">
        <v>1</v>
      </c>
      <c r="DR96" s="31" t="s">
        <v>1186</v>
      </c>
      <c r="DS96" s="43">
        <v>45767</v>
      </c>
      <c r="DT96" s="32">
        <f t="shared" si="30"/>
        <v>45767</v>
      </c>
      <c r="DU96" s="32">
        <v>46052</v>
      </c>
      <c r="DV96" s="32" t="s">
        <v>404</v>
      </c>
      <c r="DW96" s="4">
        <v>1</v>
      </c>
      <c r="DX96" s="4" t="s">
        <v>1193</v>
      </c>
      <c r="DY96" s="43">
        <v>45031</v>
      </c>
      <c r="DZ96" s="32">
        <f t="shared" ref="DZ96:DZ97" si="43">DY96</f>
        <v>45031</v>
      </c>
      <c r="EA96" s="32">
        <v>46052</v>
      </c>
      <c r="EB96" s="32" t="s">
        <v>405</v>
      </c>
      <c r="EC96" s="11">
        <v>0</v>
      </c>
      <c r="ED96" s="11"/>
      <c r="EE96" s="11"/>
      <c r="EF96" s="4">
        <v>0</v>
      </c>
      <c r="EG96" s="4"/>
      <c r="EH96" s="43"/>
      <c r="EI96" s="43"/>
      <c r="EJ96" s="26"/>
      <c r="EK96" s="26"/>
      <c r="EL96" s="26"/>
    </row>
    <row r="97" spans="1:142" hidden="1">
      <c r="A97" s="11">
        <v>94</v>
      </c>
      <c r="B97" s="115">
        <v>10190</v>
      </c>
      <c r="C97" s="13" t="s">
        <v>120</v>
      </c>
      <c r="D97" s="10">
        <v>1313088426</v>
      </c>
      <c r="E97" s="10" t="s">
        <v>45</v>
      </c>
      <c r="F97" s="26" t="s">
        <v>171</v>
      </c>
      <c r="G97" s="10" t="s">
        <v>109</v>
      </c>
      <c r="H97" s="4">
        <v>1</v>
      </c>
      <c r="I97" s="10" t="s">
        <v>1104</v>
      </c>
      <c r="J97" s="43">
        <f t="shared" si="40"/>
        <v>45398</v>
      </c>
      <c r="K97" s="43">
        <v>45398</v>
      </c>
      <c r="L97" s="32">
        <v>46200</v>
      </c>
      <c r="M97" s="43" t="s">
        <v>404</v>
      </c>
      <c r="N97" s="10">
        <v>1</v>
      </c>
      <c r="O97" s="10" t="s">
        <v>1118</v>
      </c>
      <c r="P97" s="32">
        <f t="shared" si="28"/>
        <v>45561</v>
      </c>
      <c r="Q97" s="43">
        <v>45561</v>
      </c>
      <c r="R97" s="32">
        <v>46200</v>
      </c>
      <c r="S97" s="43" t="s">
        <v>404</v>
      </c>
      <c r="T97" s="4">
        <v>1</v>
      </c>
      <c r="U97" s="10" t="s">
        <v>1132</v>
      </c>
      <c r="V97" s="43">
        <f t="shared" si="41"/>
        <v>45398</v>
      </c>
      <c r="W97" s="43">
        <v>45398</v>
      </c>
      <c r="X97" s="32">
        <v>46200</v>
      </c>
      <c r="Y97" s="43" t="s">
        <v>404</v>
      </c>
      <c r="Z97" s="11">
        <v>0</v>
      </c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>
        <v>0</v>
      </c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>
        <v>0</v>
      </c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>
        <v>0</v>
      </c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>
        <v>0</v>
      </c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>
        <v>0</v>
      </c>
      <c r="CJ97" s="11"/>
      <c r="CK97" s="11"/>
      <c r="CL97" s="11"/>
      <c r="CM97" s="11"/>
      <c r="CN97" s="11"/>
      <c r="CO97" s="4">
        <v>1</v>
      </c>
      <c r="CP97" s="4" t="s">
        <v>1165</v>
      </c>
      <c r="CQ97" s="39">
        <v>45818</v>
      </c>
      <c r="CR97" s="39">
        <v>45818</v>
      </c>
      <c r="CS97" s="32">
        <v>46200</v>
      </c>
      <c r="CT97" s="32" t="s">
        <v>405</v>
      </c>
      <c r="CU97" s="4">
        <v>1</v>
      </c>
      <c r="CV97" s="4" t="s">
        <v>1175</v>
      </c>
      <c r="CW97" s="39">
        <v>45792</v>
      </c>
      <c r="CX97" s="39">
        <v>45792</v>
      </c>
      <c r="CY97" s="33">
        <v>45658</v>
      </c>
      <c r="CZ97" s="34">
        <v>46388</v>
      </c>
      <c r="DA97" s="31" t="s">
        <v>166</v>
      </c>
      <c r="DB97" s="31" t="s">
        <v>167</v>
      </c>
      <c r="DC97" s="32">
        <v>46200</v>
      </c>
      <c r="DD97" s="31" t="s">
        <v>405</v>
      </c>
      <c r="DE97" s="11">
        <v>0</v>
      </c>
      <c r="DF97" s="11"/>
      <c r="DG97" s="11"/>
      <c r="DH97" s="11"/>
      <c r="DI97" s="11"/>
      <c r="DJ97" s="11"/>
      <c r="DK97" s="11">
        <v>0</v>
      </c>
      <c r="DL97" s="11"/>
      <c r="DM97" s="11"/>
      <c r="DN97" s="11"/>
      <c r="DO97" s="11"/>
      <c r="DP97" s="11"/>
      <c r="DQ97" s="31">
        <v>1</v>
      </c>
      <c r="DR97" s="31" t="s">
        <v>1187</v>
      </c>
      <c r="DS97" s="43">
        <v>45767</v>
      </c>
      <c r="DT97" s="32">
        <f t="shared" si="30"/>
        <v>45767</v>
      </c>
      <c r="DU97" s="32">
        <v>46052</v>
      </c>
      <c r="DV97" s="32" t="s">
        <v>404</v>
      </c>
      <c r="DW97" s="4">
        <v>1</v>
      </c>
      <c r="DX97" s="4" t="s">
        <v>1194</v>
      </c>
      <c r="DY97" s="43">
        <v>45773</v>
      </c>
      <c r="DZ97" s="32">
        <f t="shared" si="43"/>
        <v>45773</v>
      </c>
      <c r="EA97" s="32">
        <v>46052</v>
      </c>
      <c r="EB97" s="32" t="s">
        <v>404</v>
      </c>
      <c r="EC97" s="11">
        <v>0</v>
      </c>
      <c r="ED97" s="11"/>
      <c r="EE97" s="11"/>
      <c r="EF97" s="11">
        <v>0</v>
      </c>
      <c r="EG97" s="11"/>
      <c r="EH97" s="11"/>
      <c r="EI97" s="11"/>
      <c r="EJ97" s="26"/>
      <c r="EK97" s="26"/>
      <c r="EL97" s="26"/>
    </row>
    <row r="98" spans="1:142" hidden="1">
      <c r="A98" s="11">
        <v>95</v>
      </c>
      <c r="B98" s="115">
        <v>10035</v>
      </c>
      <c r="C98" s="10" t="s">
        <v>121</v>
      </c>
      <c r="D98" s="10">
        <v>1313088225</v>
      </c>
      <c r="E98" s="10" t="s">
        <v>35</v>
      </c>
      <c r="F98" s="26" t="s">
        <v>171</v>
      </c>
      <c r="G98" s="10" t="s">
        <v>109</v>
      </c>
      <c r="H98" s="10">
        <v>1</v>
      </c>
      <c r="I98" s="10" t="s">
        <v>1105</v>
      </c>
      <c r="J98" s="43">
        <f t="shared" si="40"/>
        <v>45823</v>
      </c>
      <c r="K98" s="43">
        <v>45823</v>
      </c>
      <c r="L98" s="32">
        <v>46200</v>
      </c>
      <c r="M98" s="43" t="s">
        <v>404</v>
      </c>
      <c r="N98" s="10">
        <v>1</v>
      </c>
      <c r="O98" s="10" t="s">
        <v>1123</v>
      </c>
      <c r="P98" s="32">
        <f t="shared" si="28"/>
        <v>45926</v>
      </c>
      <c r="Q98" s="43">
        <v>45926</v>
      </c>
      <c r="R98" s="32">
        <v>46200</v>
      </c>
      <c r="S98" s="43" t="s">
        <v>404</v>
      </c>
      <c r="T98" s="10">
        <v>1</v>
      </c>
      <c r="U98" s="10" t="s">
        <v>1133</v>
      </c>
      <c r="V98" s="43">
        <f t="shared" si="41"/>
        <v>45823</v>
      </c>
      <c r="W98" s="43">
        <v>45823</v>
      </c>
      <c r="X98" s="32">
        <v>46200</v>
      </c>
      <c r="Y98" s="32" t="s">
        <v>405</v>
      </c>
      <c r="Z98" s="11">
        <v>0</v>
      </c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>
        <v>0</v>
      </c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>
        <v>0</v>
      </c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>
        <v>0</v>
      </c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>
        <v>0</v>
      </c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>
        <v>0</v>
      </c>
      <c r="CJ98" s="11"/>
      <c r="CK98" s="11"/>
      <c r="CL98" s="11"/>
      <c r="CM98" s="11"/>
      <c r="CN98" s="11"/>
      <c r="CO98" s="4">
        <v>1</v>
      </c>
      <c r="CP98" s="4" t="s">
        <v>1166</v>
      </c>
      <c r="CQ98" s="39">
        <v>45818</v>
      </c>
      <c r="CR98" s="39">
        <v>45818</v>
      </c>
      <c r="CS98" s="32">
        <v>46200</v>
      </c>
      <c r="CT98" s="39" t="s">
        <v>404</v>
      </c>
      <c r="CU98" s="11">
        <v>0</v>
      </c>
      <c r="CV98" s="11"/>
      <c r="CW98" s="39">
        <v>45792</v>
      </c>
      <c r="CX98" s="39">
        <v>45792</v>
      </c>
      <c r="CY98" s="33">
        <v>45658</v>
      </c>
      <c r="CZ98" s="34">
        <v>46388</v>
      </c>
      <c r="DA98" s="31" t="s">
        <v>166</v>
      </c>
      <c r="DB98" s="31" t="s">
        <v>167</v>
      </c>
      <c r="DC98" s="32">
        <v>46200</v>
      </c>
      <c r="DD98" s="31"/>
      <c r="DE98" s="11">
        <v>0</v>
      </c>
      <c r="DF98" s="11"/>
      <c r="DG98" s="11"/>
      <c r="DH98" s="11"/>
      <c r="DI98" s="11"/>
      <c r="DJ98" s="11"/>
      <c r="DK98" s="11">
        <v>0</v>
      </c>
      <c r="DL98" s="11"/>
      <c r="DM98" s="11"/>
      <c r="DN98" s="11"/>
      <c r="DO98" s="11"/>
      <c r="DP98" s="11"/>
      <c r="DQ98" s="31">
        <v>1</v>
      </c>
      <c r="DR98" s="31" t="s">
        <v>1188</v>
      </c>
      <c r="DS98" s="43">
        <v>45767</v>
      </c>
      <c r="DT98" s="32">
        <f t="shared" si="30"/>
        <v>45767</v>
      </c>
      <c r="DU98" s="32">
        <v>46052</v>
      </c>
      <c r="DV98" s="32" t="s">
        <v>404</v>
      </c>
      <c r="DW98" s="11">
        <v>0</v>
      </c>
      <c r="DX98" s="11"/>
      <c r="DY98" s="11"/>
      <c r="DZ98" s="11"/>
      <c r="EA98" s="32">
        <v>46052</v>
      </c>
      <c r="EB98" s="11"/>
      <c r="EC98" s="11">
        <v>0</v>
      </c>
      <c r="ED98" s="11"/>
      <c r="EE98" s="11"/>
      <c r="EF98" s="11">
        <v>0</v>
      </c>
      <c r="EG98" s="11"/>
      <c r="EH98" s="11"/>
      <c r="EI98" s="11"/>
      <c r="EJ98" s="26"/>
      <c r="EK98" s="26"/>
      <c r="EL98" s="26"/>
    </row>
    <row r="99" spans="1:142" hidden="1">
      <c r="A99" s="11">
        <v>96</v>
      </c>
      <c r="B99" s="115">
        <v>10470</v>
      </c>
      <c r="C99" s="10" t="s">
        <v>122</v>
      </c>
      <c r="D99" s="13">
        <v>1313088227</v>
      </c>
      <c r="E99" s="10" t="s">
        <v>123</v>
      </c>
      <c r="F99" s="26" t="s">
        <v>171</v>
      </c>
      <c r="G99" s="10" t="s">
        <v>109</v>
      </c>
      <c r="H99" s="10">
        <v>1</v>
      </c>
      <c r="I99" s="10" t="s">
        <v>1106</v>
      </c>
      <c r="J99" s="43">
        <f t="shared" si="40"/>
        <v>45427</v>
      </c>
      <c r="K99" s="43">
        <v>45427</v>
      </c>
      <c r="L99" s="32">
        <v>46200</v>
      </c>
      <c r="M99" s="43" t="s">
        <v>404</v>
      </c>
      <c r="N99" s="10">
        <v>1</v>
      </c>
      <c r="O99" s="10" t="s">
        <v>1119</v>
      </c>
      <c r="P99" s="32">
        <f t="shared" si="28"/>
        <v>45926</v>
      </c>
      <c r="Q99" s="43">
        <v>45926</v>
      </c>
      <c r="R99" s="32">
        <v>46200</v>
      </c>
      <c r="S99" s="43" t="s">
        <v>404</v>
      </c>
      <c r="T99" s="10">
        <v>1</v>
      </c>
      <c r="U99" s="10" t="s">
        <v>1134</v>
      </c>
      <c r="V99" s="43">
        <f t="shared" si="41"/>
        <v>45679</v>
      </c>
      <c r="W99" s="43">
        <v>45679</v>
      </c>
      <c r="X99" s="32">
        <v>46200</v>
      </c>
      <c r="Y99" s="43" t="s">
        <v>404</v>
      </c>
      <c r="Z99" s="11">
        <v>0</v>
      </c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>
        <v>0</v>
      </c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>
        <v>0</v>
      </c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>
        <v>0</v>
      </c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>
        <v>0</v>
      </c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>
        <v>0</v>
      </c>
      <c r="CJ99" s="11"/>
      <c r="CK99" s="11"/>
      <c r="CL99" s="11"/>
      <c r="CM99" s="11"/>
      <c r="CN99" s="11"/>
      <c r="CO99" s="11">
        <v>1</v>
      </c>
      <c r="CP99" s="4" t="s">
        <v>1157</v>
      </c>
      <c r="CQ99" s="39">
        <v>45818</v>
      </c>
      <c r="CR99" s="39">
        <v>45818</v>
      </c>
      <c r="CS99" s="32">
        <v>46200</v>
      </c>
      <c r="CT99" s="32" t="s">
        <v>405</v>
      </c>
      <c r="CU99" s="10">
        <v>1</v>
      </c>
      <c r="CV99" s="4" t="s">
        <v>1176</v>
      </c>
      <c r="CW99" s="39">
        <v>45792</v>
      </c>
      <c r="CX99" s="39">
        <v>45792</v>
      </c>
      <c r="CY99" s="33">
        <v>45658</v>
      </c>
      <c r="CZ99" s="34">
        <v>46388</v>
      </c>
      <c r="DA99" s="31" t="s">
        <v>166</v>
      </c>
      <c r="DB99" s="31" t="s">
        <v>167</v>
      </c>
      <c r="DC99" s="32">
        <v>46200</v>
      </c>
      <c r="DD99" s="31" t="s">
        <v>404</v>
      </c>
      <c r="DE99" s="11">
        <v>0</v>
      </c>
      <c r="DF99" s="11"/>
      <c r="DG99" s="11"/>
      <c r="DH99" s="11"/>
      <c r="DI99" s="11"/>
      <c r="DJ99" s="11"/>
      <c r="DK99" s="11">
        <v>0</v>
      </c>
      <c r="DL99" s="11"/>
      <c r="DM99" s="11"/>
      <c r="DN99" s="11"/>
      <c r="DO99" s="11"/>
      <c r="DP99" s="11"/>
      <c r="DQ99" s="31">
        <v>1</v>
      </c>
      <c r="DR99" s="31" t="s">
        <v>1179</v>
      </c>
      <c r="DS99" s="43">
        <v>45767</v>
      </c>
      <c r="DT99" s="32">
        <f t="shared" si="30"/>
        <v>45767</v>
      </c>
      <c r="DU99" s="32">
        <v>46052</v>
      </c>
      <c r="DV99" s="32" t="s">
        <v>405</v>
      </c>
      <c r="DW99" s="11">
        <v>0</v>
      </c>
      <c r="DX99" s="11"/>
      <c r="DY99" s="11"/>
      <c r="DZ99" s="11"/>
      <c r="EA99" s="32">
        <v>46052</v>
      </c>
      <c r="EB99" s="11"/>
      <c r="EC99" s="11">
        <v>0</v>
      </c>
      <c r="ED99" s="11"/>
      <c r="EE99" s="11"/>
      <c r="EF99" s="11">
        <v>0</v>
      </c>
      <c r="EG99" s="11"/>
      <c r="EH99" s="43"/>
      <c r="EI99" s="43"/>
      <c r="EJ99" s="26"/>
      <c r="EK99" s="26"/>
      <c r="EL99" s="26"/>
    </row>
    <row r="100" spans="1:142" hidden="1">
      <c r="A100" s="11">
        <v>97</v>
      </c>
      <c r="B100" s="115">
        <v>11832</v>
      </c>
      <c r="C100" s="10" t="s">
        <v>236</v>
      </c>
      <c r="D100" s="10">
        <v>1313088535</v>
      </c>
      <c r="E100" s="10" t="s">
        <v>26</v>
      </c>
      <c r="F100" s="26" t="s">
        <v>171</v>
      </c>
      <c r="G100" s="10" t="s">
        <v>109</v>
      </c>
      <c r="H100" s="10">
        <v>1</v>
      </c>
      <c r="I100" s="10" t="s">
        <v>1107</v>
      </c>
      <c r="J100" s="43">
        <f t="shared" si="40"/>
        <v>45800</v>
      </c>
      <c r="K100" s="45">
        <v>45800</v>
      </c>
      <c r="L100" s="32">
        <v>46200</v>
      </c>
      <c r="M100" s="43" t="s">
        <v>404</v>
      </c>
      <c r="N100" s="10">
        <v>1</v>
      </c>
      <c r="O100" s="10" t="s">
        <v>1120</v>
      </c>
      <c r="P100" s="32">
        <f t="shared" si="28"/>
        <v>45925</v>
      </c>
      <c r="Q100" s="39">
        <v>45925</v>
      </c>
      <c r="R100" s="32">
        <v>46200</v>
      </c>
      <c r="S100" s="43" t="s">
        <v>404</v>
      </c>
      <c r="T100" s="10">
        <v>1</v>
      </c>
      <c r="U100" s="10" t="s">
        <v>1135</v>
      </c>
      <c r="V100" s="43">
        <f t="shared" si="41"/>
        <v>45800</v>
      </c>
      <c r="W100" s="45">
        <v>45800</v>
      </c>
      <c r="X100" s="32">
        <v>46200</v>
      </c>
      <c r="Y100" s="43" t="s">
        <v>404</v>
      </c>
      <c r="Z100" s="11">
        <v>0</v>
      </c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>
        <v>0</v>
      </c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>
        <v>0</v>
      </c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>
        <v>0</v>
      </c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>
        <v>0</v>
      </c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4">
        <v>0</v>
      </c>
      <c r="CJ100" s="4"/>
      <c r="CK100" s="4"/>
      <c r="CL100" s="4"/>
      <c r="CM100" s="4"/>
      <c r="CN100" s="4"/>
      <c r="CO100" s="4">
        <v>1</v>
      </c>
      <c r="CP100" s="4" t="s">
        <v>1167</v>
      </c>
      <c r="CQ100" s="39">
        <v>45818</v>
      </c>
      <c r="CR100" s="39">
        <v>45818</v>
      </c>
      <c r="CS100" s="32">
        <v>46200</v>
      </c>
      <c r="CT100" s="39" t="s">
        <v>404</v>
      </c>
      <c r="CU100" s="4">
        <v>0</v>
      </c>
      <c r="CV100" s="4"/>
      <c r="CW100" s="39">
        <v>45792</v>
      </c>
      <c r="CX100" s="39">
        <v>45792</v>
      </c>
      <c r="CY100" s="33">
        <v>45658</v>
      </c>
      <c r="CZ100" s="34">
        <v>46388</v>
      </c>
      <c r="DA100" s="31" t="s">
        <v>166</v>
      </c>
      <c r="DB100" s="31" t="s">
        <v>167</v>
      </c>
      <c r="DC100" s="32">
        <v>46200</v>
      </c>
      <c r="DD100" s="31"/>
      <c r="DE100" s="11">
        <v>0</v>
      </c>
      <c r="DF100" s="11"/>
      <c r="DG100" s="11"/>
      <c r="DH100" s="11"/>
      <c r="DI100" s="11"/>
      <c r="DJ100" s="11"/>
      <c r="DK100" s="11">
        <v>0</v>
      </c>
      <c r="DL100" s="11"/>
      <c r="DM100" s="11"/>
      <c r="DN100" s="11"/>
      <c r="DO100" s="11"/>
      <c r="DP100" s="11"/>
      <c r="DQ100" s="31">
        <v>1</v>
      </c>
      <c r="DR100" s="31" t="s">
        <v>1189</v>
      </c>
      <c r="DS100" s="43">
        <v>45767</v>
      </c>
      <c r="DT100" s="32">
        <f t="shared" si="30"/>
        <v>45767</v>
      </c>
      <c r="DU100" s="32">
        <v>46052</v>
      </c>
      <c r="DV100" s="32" t="s">
        <v>405</v>
      </c>
      <c r="DW100" s="4">
        <v>1</v>
      </c>
      <c r="DX100" s="4" t="s">
        <v>1195</v>
      </c>
      <c r="DY100" s="43">
        <v>45773</v>
      </c>
      <c r="DZ100" s="32">
        <f>DY100</f>
        <v>45773</v>
      </c>
      <c r="EA100" s="32">
        <v>46052</v>
      </c>
      <c r="EB100" s="32" t="s">
        <v>404</v>
      </c>
      <c r="EC100" s="11">
        <v>0</v>
      </c>
      <c r="ED100" s="11"/>
      <c r="EE100" s="11"/>
      <c r="EF100" s="11">
        <v>0</v>
      </c>
      <c r="EG100" s="11"/>
      <c r="EH100" s="11"/>
      <c r="EI100" s="11"/>
      <c r="EJ100" s="26"/>
      <c r="EK100" s="26"/>
      <c r="EL100" s="26"/>
    </row>
    <row r="101" spans="1:142" hidden="1">
      <c r="A101" s="11">
        <v>98</v>
      </c>
      <c r="B101" s="115">
        <v>11833</v>
      </c>
      <c r="C101" s="10" t="s">
        <v>235</v>
      </c>
      <c r="D101" s="10">
        <v>1313088487</v>
      </c>
      <c r="E101" s="10" t="s">
        <v>26</v>
      </c>
      <c r="F101" s="26" t="s">
        <v>171</v>
      </c>
      <c r="G101" s="10" t="s">
        <v>109</v>
      </c>
      <c r="H101" s="10">
        <v>1</v>
      </c>
      <c r="I101" s="10" t="s">
        <v>1108</v>
      </c>
      <c r="J101" s="43">
        <f t="shared" si="40"/>
        <v>45800</v>
      </c>
      <c r="K101" s="45">
        <v>45800</v>
      </c>
      <c r="L101" s="32">
        <v>46200</v>
      </c>
      <c r="M101" s="32" t="s">
        <v>405</v>
      </c>
      <c r="N101" s="10">
        <v>1</v>
      </c>
      <c r="O101" s="10" t="s">
        <v>1121</v>
      </c>
      <c r="P101" s="32">
        <f t="shared" si="28"/>
        <v>45925</v>
      </c>
      <c r="Q101" s="39">
        <v>45925</v>
      </c>
      <c r="R101" s="32">
        <v>46200</v>
      </c>
      <c r="S101" s="43" t="s">
        <v>404</v>
      </c>
      <c r="T101" s="10">
        <v>1</v>
      </c>
      <c r="U101" s="10" t="s">
        <v>1136</v>
      </c>
      <c r="V101" s="43">
        <f t="shared" si="41"/>
        <v>45800</v>
      </c>
      <c r="W101" s="45">
        <v>45800</v>
      </c>
      <c r="X101" s="32">
        <v>46200</v>
      </c>
      <c r="Y101" s="32" t="s">
        <v>405</v>
      </c>
      <c r="Z101" s="11">
        <v>0</v>
      </c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>
        <v>0</v>
      </c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>
        <v>0</v>
      </c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>
        <v>0</v>
      </c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>
        <v>0</v>
      </c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4">
        <v>0</v>
      </c>
      <c r="CJ101" s="4"/>
      <c r="CK101" s="4"/>
      <c r="CL101" s="4"/>
      <c r="CM101" s="4"/>
      <c r="CN101" s="4"/>
      <c r="CO101" s="4">
        <v>1</v>
      </c>
      <c r="CP101" s="4" t="s">
        <v>1168</v>
      </c>
      <c r="CQ101" s="39">
        <v>45818</v>
      </c>
      <c r="CR101" s="39">
        <v>45818</v>
      </c>
      <c r="CS101" s="32">
        <v>46200</v>
      </c>
      <c r="CT101" s="32" t="s">
        <v>405</v>
      </c>
      <c r="CU101" s="4">
        <v>0</v>
      </c>
      <c r="CV101" s="4"/>
      <c r="CW101" s="39">
        <v>45792</v>
      </c>
      <c r="CX101" s="39">
        <v>45792</v>
      </c>
      <c r="CY101" s="33">
        <v>45658</v>
      </c>
      <c r="CZ101" s="34">
        <v>46388</v>
      </c>
      <c r="DA101" s="31" t="s">
        <v>166</v>
      </c>
      <c r="DB101" s="31" t="s">
        <v>167</v>
      </c>
      <c r="DC101" s="32">
        <v>46200</v>
      </c>
      <c r="DD101" s="31"/>
      <c r="DE101" s="11">
        <v>0</v>
      </c>
      <c r="DF101" s="11"/>
      <c r="DG101" s="11"/>
      <c r="DH101" s="11"/>
      <c r="DI101" s="11"/>
      <c r="DJ101" s="11"/>
      <c r="DK101" s="11">
        <v>0</v>
      </c>
      <c r="DL101" s="11"/>
      <c r="DM101" s="11"/>
      <c r="DN101" s="11"/>
      <c r="DO101" s="11"/>
      <c r="DP101" s="11"/>
      <c r="DQ101" s="31">
        <v>1</v>
      </c>
      <c r="DR101" s="31" t="s">
        <v>1190</v>
      </c>
      <c r="DS101" s="43">
        <v>45767</v>
      </c>
      <c r="DT101" s="32">
        <f t="shared" si="30"/>
        <v>45767</v>
      </c>
      <c r="DU101" s="32">
        <v>46052</v>
      </c>
      <c r="DV101" s="32" t="s">
        <v>404</v>
      </c>
      <c r="DW101" s="4">
        <v>0</v>
      </c>
      <c r="DX101" s="4"/>
      <c r="DY101" s="4"/>
      <c r="DZ101" s="4"/>
      <c r="EA101" s="32">
        <v>46052</v>
      </c>
      <c r="EB101" s="4"/>
      <c r="EC101" s="11">
        <v>0</v>
      </c>
      <c r="ED101" s="11"/>
      <c r="EE101" s="11"/>
      <c r="EF101" s="11">
        <v>0</v>
      </c>
      <c r="EG101" s="11"/>
      <c r="EH101" s="11"/>
      <c r="EI101" s="11"/>
      <c r="EJ101" s="26"/>
      <c r="EK101" s="26"/>
      <c r="EL101" s="26"/>
    </row>
    <row r="102" spans="1:142" hidden="1">
      <c r="A102" s="11">
        <v>99</v>
      </c>
      <c r="B102" s="116">
        <v>11547</v>
      </c>
      <c r="C102" s="127" t="s">
        <v>1212</v>
      </c>
      <c r="D102" s="10">
        <v>1313088093</v>
      </c>
      <c r="E102" s="11" t="s">
        <v>30</v>
      </c>
      <c r="F102" s="26" t="s">
        <v>214</v>
      </c>
      <c r="G102" s="10" t="s">
        <v>109</v>
      </c>
      <c r="H102" s="10">
        <v>1</v>
      </c>
      <c r="I102" s="10" t="s">
        <v>1109</v>
      </c>
      <c r="J102" s="43">
        <f t="shared" si="40"/>
        <v>45818</v>
      </c>
      <c r="K102" s="43">
        <v>45818</v>
      </c>
      <c r="L102" s="32">
        <v>46200</v>
      </c>
      <c r="M102" s="43" t="s">
        <v>404</v>
      </c>
      <c r="N102" s="10">
        <v>1</v>
      </c>
      <c r="O102" s="10" t="s">
        <v>1122</v>
      </c>
      <c r="P102" s="32">
        <f t="shared" si="28"/>
        <v>45925</v>
      </c>
      <c r="Q102" s="43">
        <v>45925</v>
      </c>
      <c r="R102" s="32">
        <v>46200</v>
      </c>
      <c r="S102" s="43" t="s">
        <v>404</v>
      </c>
      <c r="T102" s="10">
        <v>1</v>
      </c>
      <c r="U102" s="10" t="s">
        <v>1137</v>
      </c>
      <c r="V102" s="43">
        <f t="shared" si="41"/>
        <v>45682</v>
      </c>
      <c r="W102" s="43">
        <v>45682</v>
      </c>
      <c r="X102" s="32">
        <v>46200</v>
      </c>
      <c r="Y102" s="43" t="s">
        <v>404</v>
      </c>
      <c r="Z102" s="10">
        <v>1</v>
      </c>
      <c r="AA102" s="10" t="s">
        <v>1140</v>
      </c>
      <c r="AB102" s="43">
        <v>45316</v>
      </c>
      <c r="AC102" s="43">
        <v>45316</v>
      </c>
      <c r="AD102" s="10"/>
      <c r="AE102" s="22">
        <v>44887</v>
      </c>
      <c r="AF102" s="22">
        <f>DATE(YEAR(AE102)+5,MONTH(AE102),DAY(AE102))</f>
        <v>46713</v>
      </c>
      <c r="AG102" s="5"/>
      <c r="AH102" s="36" t="s">
        <v>161</v>
      </c>
      <c r="AI102" s="32">
        <v>46200</v>
      </c>
      <c r="AJ102" s="43" t="s">
        <v>404</v>
      </c>
      <c r="AK102" s="10">
        <v>1</v>
      </c>
      <c r="AL102" s="10" t="s">
        <v>1143</v>
      </c>
      <c r="AM102" s="32">
        <v>45161</v>
      </c>
      <c r="AN102" s="43">
        <v>44998</v>
      </c>
      <c r="AO102" s="44" t="s">
        <v>208</v>
      </c>
      <c r="AP102" s="22">
        <v>44856</v>
      </c>
      <c r="AQ102" s="34">
        <v>46687</v>
      </c>
      <c r="AR102" s="22" t="s">
        <v>163</v>
      </c>
      <c r="AS102" s="22" t="s">
        <v>162</v>
      </c>
      <c r="AT102" s="32">
        <v>46233</v>
      </c>
      <c r="AU102" s="43" t="s">
        <v>404</v>
      </c>
      <c r="AV102" s="10">
        <v>1</v>
      </c>
      <c r="AW102" s="10" t="s">
        <v>1146</v>
      </c>
      <c r="AX102" s="32">
        <v>45161</v>
      </c>
      <c r="AY102" s="32">
        <v>45161</v>
      </c>
      <c r="AZ102" s="44" t="s">
        <v>209</v>
      </c>
      <c r="BA102" s="22">
        <v>44703</v>
      </c>
      <c r="BB102" s="34">
        <v>46529</v>
      </c>
      <c r="BC102" s="22" t="s">
        <v>163</v>
      </c>
      <c r="BD102" s="34" t="s">
        <v>1210</v>
      </c>
      <c r="BE102" s="32">
        <v>46233</v>
      </c>
      <c r="BF102" s="43" t="s">
        <v>404</v>
      </c>
      <c r="BG102" s="10">
        <v>1</v>
      </c>
      <c r="BH102" s="10" t="s">
        <v>1149</v>
      </c>
      <c r="BI102" s="32">
        <v>45161</v>
      </c>
      <c r="BJ102" s="32">
        <v>45161</v>
      </c>
      <c r="BK102" s="44" t="s">
        <v>210</v>
      </c>
      <c r="BL102" s="22">
        <v>44703</v>
      </c>
      <c r="BM102" s="34">
        <v>46529</v>
      </c>
      <c r="BN102" s="22" t="s">
        <v>163</v>
      </c>
      <c r="BO102" s="22" t="s">
        <v>164</v>
      </c>
      <c r="BP102" s="32">
        <v>46233</v>
      </c>
      <c r="BQ102" s="43" t="s">
        <v>404</v>
      </c>
      <c r="BR102" s="10">
        <v>1</v>
      </c>
      <c r="BS102" s="10" t="s">
        <v>1152</v>
      </c>
      <c r="BT102" s="32">
        <v>45161</v>
      </c>
      <c r="BU102" s="32">
        <v>45161</v>
      </c>
      <c r="BV102" s="44" t="s">
        <v>211</v>
      </c>
      <c r="BW102" s="23">
        <v>44483</v>
      </c>
      <c r="BX102" s="34">
        <v>46674</v>
      </c>
      <c r="BY102" s="22" t="s">
        <v>163</v>
      </c>
      <c r="BZ102" s="23" t="s">
        <v>165</v>
      </c>
      <c r="CA102" s="32">
        <v>46233</v>
      </c>
      <c r="CB102" s="43" t="s">
        <v>404</v>
      </c>
      <c r="CC102" s="23"/>
      <c r="CD102" s="23"/>
      <c r="CE102" s="23"/>
      <c r="CF102" s="23"/>
      <c r="CG102" s="23"/>
      <c r="CH102" s="23"/>
      <c r="CI102" s="31">
        <v>1</v>
      </c>
      <c r="CJ102" s="31" t="s">
        <v>1155</v>
      </c>
      <c r="CK102" s="32">
        <v>45577</v>
      </c>
      <c r="CL102" s="32">
        <v>45577</v>
      </c>
      <c r="CM102" s="43">
        <v>46052</v>
      </c>
      <c r="CN102" s="43" t="s">
        <v>404</v>
      </c>
      <c r="CO102" s="4">
        <v>1</v>
      </c>
      <c r="CP102" s="4" t="s">
        <v>1169</v>
      </c>
      <c r="CQ102" s="39">
        <v>45818</v>
      </c>
      <c r="CR102" s="39">
        <v>45818</v>
      </c>
      <c r="CS102" s="32">
        <v>46200</v>
      </c>
      <c r="CT102" s="39" t="s">
        <v>404</v>
      </c>
      <c r="CU102" s="4">
        <v>0</v>
      </c>
      <c r="CV102" s="4"/>
      <c r="CW102" s="39">
        <v>45792</v>
      </c>
      <c r="CX102" s="39">
        <v>45792</v>
      </c>
      <c r="CY102" s="33">
        <v>45658</v>
      </c>
      <c r="CZ102" s="34">
        <v>46388</v>
      </c>
      <c r="DA102" s="31" t="s">
        <v>166</v>
      </c>
      <c r="DB102" s="31" t="s">
        <v>167</v>
      </c>
      <c r="DC102" s="32">
        <v>46200</v>
      </c>
      <c r="DD102" s="31"/>
      <c r="DE102" s="11">
        <v>0</v>
      </c>
      <c r="DF102" s="11"/>
      <c r="DG102" s="11"/>
      <c r="DH102" s="11"/>
      <c r="DI102" s="11"/>
      <c r="DJ102" s="11"/>
      <c r="DK102" s="11">
        <v>0</v>
      </c>
      <c r="DL102" s="11"/>
      <c r="DM102" s="11"/>
      <c r="DN102" s="11"/>
      <c r="DO102" s="11"/>
      <c r="DP102" s="11"/>
      <c r="DQ102" s="31">
        <v>1</v>
      </c>
      <c r="DR102" s="31" t="s">
        <v>1191</v>
      </c>
      <c r="DS102" s="43">
        <v>45767</v>
      </c>
      <c r="DT102" s="32">
        <f t="shared" si="30"/>
        <v>45767</v>
      </c>
      <c r="DU102" s="32">
        <v>46052</v>
      </c>
      <c r="DV102" s="32" t="s">
        <v>404</v>
      </c>
      <c r="DW102" s="4">
        <v>0</v>
      </c>
      <c r="DX102" s="4"/>
      <c r="DY102" s="4"/>
      <c r="DZ102" s="4"/>
      <c r="EA102" s="32">
        <v>46052</v>
      </c>
      <c r="EB102" s="4"/>
      <c r="EC102" s="11">
        <v>0</v>
      </c>
      <c r="ED102" s="11"/>
      <c r="EE102" s="11"/>
      <c r="EF102" s="11">
        <v>0</v>
      </c>
      <c r="EG102" s="11"/>
      <c r="EH102" s="11"/>
      <c r="EI102" s="11"/>
      <c r="EJ102" s="26"/>
      <c r="EK102" s="26"/>
      <c r="EL102" s="26"/>
    </row>
    <row r="103" spans="1:142" hidden="1">
      <c r="A103" s="11">
        <v>100</v>
      </c>
      <c r="B103" s="115">
        <v>1611</v>
      </c>
      <c r="C103" s="126" t="s">
        <v>126</v>
      </c>
      <c r="D103" s="13">
        <v>1313088114</v>
      </c>
      <c r="E103" s="10" t="s">
        <v>118</v>
      </c>
      <c r="F103" s="26" t="s">
        <v>214</v>
      </c>
      <c r="G103" s="10" t="s">
        <v>125</v>
      </c>
      <c r="H103" s="10">
        <v>1</v>
      </c>
      <c r="I103" s="10" t="s">
        <v>536</v>
      </c>
      <c r="J103" s="32">
        <v>45161</v>
      </c>
      <c r="K103" s="32">
        <v>45161</v>
      </c>
      <c r="L103" s="32">
        <v>46233</v>
      </c>
      <c r="M103" s="32" t="s">
        <v>404</v>
      </c>
      <c r="N103" s="10">
        <v>1</v>
      </c>
      <c r="O103" s="10" t="s">
        <v>548</v>
      </c>
      <c r="P103" s="32">
        <f t="shared" si="28"/>
        <v>45161</v>
      </c>
      <c r="Q103" s="32">
        <v>45161</v>
      </c>
      <c r="R103" s="32">
        <v>46233</v>
      </c>
      <c r="S103" s="32" t="s">
        <v>404</v>
      </c>
      <c r="T103" s="10">
        <v>1</v>
      </c>
      <c r="U103" s="10" t="s">
        <v>560</v>
      </c>
      <c r="V103" s="32">
        <v>45818</v>
      </c>
      <c r="W103" s="32">
        <v>45818</v>
      </c>
      <c r="X103" s="32">
        <v>46233</v>
      </c>
      <c r="Y103" s="32" t="s">
        <v>404</v>
      </c>
      <c r="Z103" s="10">
        <v>1</v>
      </c>
      <c r="AA103" s="10" t="s">
        <v>572</v>
      </c>
      <c r="AB103" s="32">
        <f t="shared" ref="AB103" si="44">AC103</f>
        <v>45161</v>
      </c>
      <c r="AC103" s="32">
        <v>45161</v>
      </c>
      <c r="AD103" s="12"/>
      <c r="AE103" s="22">
        <v>44887</v>
      </c>
      <c r="AF103" s="22">
        <f>DATE(YEAR(AE103)+5,MONTH(AE103),DAY(AE103))</f>
        <v>46713</v>
      </c>
      <c r="AG103" s="5"/>
      <c r="AH103" s="36" t="s">
        <v>161</v>
      </c>
      <c r="AI103" s="32">
        <v>46233</v>
      </c>
      <c r="AJ103" s="32" t="s">
        <v>404</v>
      </c>
      <c r="AK103" s="10">
        <v>1</v>
      </c>
      <c r="AL103" s="10" t="s">
        <v>575</v>
      </c>
      <c r="AM103" s="32">
        <v>45161</v>
      </c>
      <c r="AN103" s="32">
        <v>45161</v>
      </c>
      <c r="AO103" s="12"/>
      <c r="AP103" s="22">
        <v>44856</v>
      </c>
      <c r="AQ103" s="34">
        <v>46687</v>
      </c>
      <c r="AR103" s="22" t="s">
        <v>163</v>
      </c>
      <c r="AS103" s="22" t="s">
        <v>162</v>
      </c>
      <c r="AT103" s="32">
        <v>46233</v>
      </c>
      <c r="AU103" s="32" t="s">
        <v>404</v>
      </c>
      <c r="AV103" s="10">
        <v>1</v>
      </c>
      <c r="AW103" s="10" t="s">
        <v>578</v>
      </c>
      <c r="AX103" s="32">
        <v>45161</v>
      </c>
      <c r="AY103" s="32">
        <v>45161</v>
      </c>
      <c r="AZ103" s="12"/>
      <c r="BA103" s="22">
        <v>44703</v>
      </c>
      <c r="BB103" s="34">
        <v>46529</v>
      </c>
      <c r="BC103" s="22" t="s">
        <v>163</v>
      </c>
      <c r="BD103" s="34" t="s">
        <v>1210</v>
      </c>
      <c r="BE103" s="32">
        <v>46233</v>
      </c>
      <c r="BF103" s="32" t="s">
        <v>404</v>
      </c>
      <c r="BG103" s="10">
        <v>1</v>
      </c>
      <c r="BH103" s="10" t="s">
        <v>581</v>
      </c>
      <c r="BI103" s="32">
        <v>45161</v>
      </c>
      <c r="BJ103" s="32">
        <v>45161</v>
      </c>
      <c r="BK103" s="12"/>
      <c r="BL103" s="22">
        <v>44703</v>
      </c>
      <c r="BM103" s="34">
        <v>46529</v>
      </c>
      <c r="BN103" s="22" t="s">
        <v>163</v>
      </c>
      <c r="BO103" s="22" t="s">
        <v>164</v>
      </c>
      <c r="BP103" s="32">
        <v>46233</v>
      </c>
      <c r="BQ103" s="32" t="s">
        <v>404</v>
      </c>
      <c r="BR103" s="12">
        <v>1</v>
      </c>
      <c r="BS103" s="12" t="s">
        <v>584</v>
      </c>
      <c r="BT103" s="32">
        <v>45161</v>
      </c>
      <c r="BU103" s="32">
        <v>45161</v>
      </c>
      <c r="BV103" s="12"/>
      <c r="BW103" s="23">
        <v>44483</v>
      </c>
      <c r="BX103" s="34">
        <v>46674</v>
      </c>
      <c r="BY103" s="22" t="s">
        <v>163</v>
      </c>
      <c r="BZ103" s="23" t="s">
        <v>165</v>
      </c>
      <c r="CA103" s="32">
        <v>46233</v>
      </c>
      <c r="CB103" s="32" t="s">
        <v>404</v>
      </c>
      <c r="CC103" s="23"/>
      <c r="CD103" s="23"/>
      <c r="CE103" s="23"/>
      <c r="CF103" s="23"/>
      <c r="CG103" s="23"/>
      <c r="CH103" s="23"/>
      <c r="CI103" s="31">
        <v>1</v>
      </c>
      <c r="CJ103" s="31" t="s">
        <v>587</v>
      </c>
      <c r="CK103" s="32">
        <v>45577</v>
      </c>
      <c r="CL103" s="32">
        <v>45577</v>
      </c>
      <c r="CM103" s="32">
        <v>46233</v>
      </c>
      <c r="CN103" s="32" t="s">
        <v>404</v>
      </c>
      <c r="CO103" s="4">
        <v>1</v>
      </c>
      <c r="CP103" s="4" t="s">
        <v>590</v>
      </c>
      <c r="CQ103" s="39">
        <v>45818</v>
      </c>
      <c r="CR103" s="39">
        <v>45818</v>
      </c>
      <c r="CS103" s="32">
        <v>46233</v>
      </c>
      <c r="CT103" s="32" t="s">
        <v>404</v>
      </c>
      <c r="CU103" s="4">
        <v>1</v>
      </c>
      <c r="CV103" s="4" t="s">
        <v>602</v>
      </c>
      <c r="CW103" s="39">
        <v>45792</v>
      </c>
      <c r="CX103" s="39">
        <v>45792</v>
      </c>
      <c r="CY103" s="33">
        <v>45658</v>
      </c>
      <c r="CZ103" s="34">
        <v>46388</v>
      </c>
      <c r="DA103" s="31" t="s">
        <v>166</v>
      </c>
      <c r="DB103" s="31" t="s">
        <v>167</v>
      </c>
      <c r="DC103" s="32">
        <v>46233</v>
      </c>
      <c r="DD103" s="32" t="s">
        <v>404</v>
      </c>
      <c r="DE103" s="11">
        <v>0</v>
      </c>
      <c r="DF103" s="11"/>
      <c r="DG103" s="11"/>
      <c r="DH103" s="11"/>
      <c r="DI103" s="11"/>
      <c r="DJ103" s="11"/>
      <c r="DK103" s="11">
        <v>0</v>
      </c>
      <c r="DL103" s="11"/>
      <c r="DM103" s="11"/>
      <c r="DN103" s="11"/>
      <c r="DO103" s="11"/>
      <c r="DP103" s="11"/>
      <c r="DQ103" s="31">
        <v>1</v>
      </c>
      <c r="DR103" s="31" t="s">
        <v>610</v>
      </c>
      <c r="DS103" s="43">
        <v>45731</v>
      </c>
      <c r="DT103" s="32">
        <f t="shared" si="30"/>
        <v>45731</v>
      </c>
      <c r="DU103" s="32">
        <v>46233</v>
      </c>
      <c r="DV103" s="32" t="s">
        <v>404</v>
      </c>
      <c r="DW103" s="4">
        <v>0</v>
      </c>
      <c r="DX103" s="4"/>
      <c r="DY103" s="4"/>
      <c r="DZ103" s="4"/>
      <c r="EA103" s="4"/>
      <c r="EB103" s="4"/>
      <c r="EC103" s="11">
        <v>0</v>
      </c>
      <c r="ED103" s="11"/>
      <c r="EE103" s="11"/>
      <c r="EF103" s="11">
        <v>0</v>
      </c>
      <c r="EG103" s="11"/>
      <c r="EH103" s="11"/>
      <c r="EI103" s="11"/>
      <c r="EJ103" s="26"/>
      <c r="EK103" s="26"/>
      <c r="EL103" s="26"/>
    </row>
    <row r="104" spans="1:142" hidden="1">
      <c r="A104" s="11">
        <v>101</v>
      </c>
      <c r="B104" s="115">
        <v>10642</v>
      </c>
      <c r="C104" s="13" t="s">
        <v>127</v>
      </c>
      <c r="D104" s="10">
        <v>1313088398</v>
      </c>
      <c r="E104" s="10" t="s">
        <v>35</v>
      </c>
      <c r="F104" s="26" t="s">
        <v>171</v>
      </c>
      <c r="G104" s="10" t="s">
        <v>125</v>
      </c>
      <c r="H104" s="10">
        <v>1</v>
      </c>
      <c r="I104" s="10" t="s">
        <v>538</v>
      </c>
      <c r="J104" s="43">
        <v>45823</v>
      </c>
      <c r="K104" s="43">
        <v>45823</v>
      </c>
      <c r="L104" s="32">
        <v>46200</v>
      </c>
      <c r="M104" s="32" t="s">
        <v>404</v>
      </c>
      <c r="N104" s="10">
        <v>1</v>
      </c>
      <c r="O104" s="10" t="s">
        <v>549</v>
      </c>
      <c r="P104" s="32">
        <f t="shared" si="28"/>
        <v>45925</v>
      </c>
      <c r="Q104" s="43">
        <v>45925</v>
      </c>
      <c r="R104" s="32">
        <v>46200</v>
      </c>
      <c r="S104" s="32" t="s">
        <v>404</v>
      </c>
      <c r="T104" s="10">
        <v>1</v>
      </c>
      <c r="U104" s="10" t="s">
        <v>561</v>
      </c>
      <c r="V104" s="32">
        <v>45818</v>
      </c>
      <c r="W104" s="32">
        <v>45818</v>
      </c>
      <c r="X104" s="32">
        <v>46200</v>
      </c>
      <c r="Y104" s="32" t="s">
        <v>404</v>
      </c>
      <c r="Z104" s="11">
        <v>0</v>
      </c>
      <c r="AA104" s="11"/>
      <c r="AB104" s="11"/>
      <c r="AC104" s="11"/>
      <c r="AD104" s="46"/>
      <c r="AE104" s="11"/>
      <c r="AF104" s="11"/>
      <c r="AG104" s="11"/>
      <c r="AH104" s="11"/>
      <c r="AI104" s="11"/>
      <c r="AJ104" s="11"/>
      <c r="AK104" s="11">
        <v>0</v>
      </c>
      <c r="AL104" s="11"/>
      <c r="AM104" s="11"/>
      <c r="AN104" s="11"/>
      <c r="AO104" s="46"/>
      <c r="AP104" s="11"/>
      <c r="AQ104" s="11"/>
      <c r="AR104" s="11"/>
      <c r="AS104" s="11"/>
      <c r="AT104" s="11"/>
      <c r="AU104" s="11"/>
      <c r="AV104" s="11">
        <v>0</v>
      </c>
      <c r="AW104" s="11"/>
      <c r="AX104" s="11"/>
      <c r="AY104" s="11"/>
      <c r="AZ104" s="46"/>
      <c r="BA104" s="11"/>
      <c r="BB104" s="11"/>
      <c r="BC104" s="11"/>
      <c r="BD104" s="11"/>
      <c r="BE104" s="11"/>
      <c r="BF104" s="11"/>
      <c r="BG104" s="11">
        <v>0</v>
      </c>
      <c r="BH104" s="11"/>
      <c r="BI104" s="11"/>
      <c r="BJ104" s="11"/>
      <c r="BK104" s="46"/>
      <c r="BL104" s="46"/>
      <c r="BM104" s="46"/>
      <c r="BN104" s="46"/>
      <c r="BO104" s="46"/>
      <c r="BP104" s="11"/>
      <c r="BQ104" s="11"/>
      <c r="BR104" s="46">
        <v>0</v>
      </c>
      <c r="BS104" s="46"/>
      <c r="BT104" s="46"/>
      <c r="BU104" s="46"/>
      <c r="BV104" s="46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>
        <v>0</v>
      </c>
      <c r="CJ104" s="11"/>
      <c r="CK104" s="11"/>
      <c r="CL104" s="11"/>
      <c r="CM104" s="11"/>
      <c r="CN104" s="11"/>
      <c r="CO104" s="4">
        <v>1</v>
      </c>
      <c r="CP104" s="4" t="s">
        <v>591</v>
      </c>
      <c r="CQ104" s="39">
        <v>45818</v>
      </c>
      <c r="CR104" s="39">
        <v>45818</v>
      </c>
      <c r="CS104" s="32">
        <v>46200</v>
      </c>
      <c r="CT104" s="32" t="s">
        <v>404</v>
      </c>
      <c r="CU104" s="11">
        <v>0</v>
      </c>
      <c r="CV104" s="11"/>
      <c r="CW104" s="39"/>
      <c r="CX104" s="39"/>
      <c r="CY104" s="33"/>
      <c r="CZ104" s="34"/>
      <c r="DA104" s="31"/>
      <c r="DB104" s="31"/>
      <c r="DC104" s="31"/>
      <c r="DD104" s="31"/>
      <c r="DE104" s="11">
        <v>0</v>
      </c>
      <c r="DF104" s="11"/>
      <c r="DG104" s="11"/>
      <c r="DH104" s="11"/>
      <c r="DI104" s="11"/>
      <c r="DJ104" s="11"/>
      <c r="DK104" s="11">
        <v>0</v>
      </c>
      <c r="DL104" s="11"/>
      <c r="DM104" s="11"/>
      <c r="DN104" s="11"/>
      <c r="DO104" s="11"/>
      <c r="DP104" s="11"/>
      <c r="DQ104" s="31">
        <v>1</v>
      </c>
      <c r="DR104" s="31" t="s">
        <v>612</v>
      </c>
      <c r="DS104" s="43">
        <v>45731</v>
      </c>
      <c r="DT104" s="32">
        <f t="shared" si="30"/>
        <v>45731</v>
      </c>
      <c r="DU104" s="32">
        <v>46051</v>
      </c>
      <c r="DV104" s="32" t="s">
        <v>404</v>
      </c>
      <c r="DW104" s="11">
        <v>0</v>
      </c>
      <c r="DX104" s="11"/>
      <c r="DY104" s="11"/>
      <c r="DZ104" s="11"/>
      <c r="EA104" s="11"/>
      <c r="EB104" s="11"/>
      <c r="EC104" s="11">
        <v>0</v>
      </c>
      <c r="ED104" s="11"/>
      <c r="EE104" s="11"/>
      <c r="EF104" s="11">
        <v>0</v>
      </c>
      <c r="EG104" s="11"/>
      <c r="EH104" s="11"/>
      <c r="EI104" s="11"/>
      <c r="EJ104" s="26"/>
      <c r="EK104" s="26"/>
      <c r="EL104" s="26"/>
    </row>
    <row r="105" spans="1:142" hidden="1">
      <c r="A105" s="11">
        <v>102</v>
      </c>
      <c r="B105" s="115">
        <v>11203</v>
      </c>
      <c r="C105" s="128" t="s">
        <v>128</v>
      </c>
      <c r="D105" s="13">
        <v>1313088254</v>
      </c>
      <c r="E105" s="10" t="s">
        <v>30</v>
      </c>
      <c r="F105" s="26" t="s">
        <v>214</v>
      </c>
      <c r="G105" s="10" t="s">
        <v>125</v>
      </c>
      <c r="H105" s="10">
        <v>1</v>
      </c>
      <c r="I105" s="10" t="s">
        <v>539</v>
      </c>
      <c r="J105" s="38">
        <f t="shared" ref="J105" si="45">K105</f>
        <v>45498</v>
      </c>
      <c r="K105" s="38">
        <v>45498</v>
      </c>
      <c r="L105" s="32">
        <v>46233</v>
      </c>
      <c r="M105" s="32" t="s">
        <v>404</v>
      </c>
      <c r="N105" s="10">
        <v>1</v>
      </c>
      <c r="O105" s="10" t="s">
        <v>550</v>
      </c>
      <c r="P105" s="32">
        <f t="shared" si="28"/>
        <v>45402</v>
      </c>
      <c r="Q105" s="43">
        <v>45402</v>
      </c>
      <c r="R105" s="32">
        <v>46233</v>
      </c>
      <c r="S105" s="32" t="s">
        <v>404</v>
      </c>
      <c r="T105" s="10">
        <v>1</v>
      </c>
      <c r="U105" s="10" t="s">
        <v>562</v>
      </c>
      <c r="V105" s="32">
        <v>45818</v>
      </c>
      <c r="W105" s="32">
        <v>45818</v>
      </c>
      <c r="X105" s="32">
        <v>46233</v>
      </c>
      <c r="Y105" s="32" t="s">
        <v>404</v>
      </c>
      <c r="Z105" s="10">
        <v>1</v>
      </c>
      <c r="AA105" s="10" t="s">
        <v>573</v>
      </c>
      <c r="AB105" s="32">
        <f t="shared" ref="AB105" si="46">AC105</f>
        <v>45161</v>
      </c>
      <c r="AC105" s="32">
        <v>45161</v>
      </c>
      <c r="AD105" s="12"/>
      <c r="AE105" s="22">
        <v>44887</v>
      </c>
      <c r="AF105" s="22">
        <f>DATE(YEAR(AE105)+5,MONTH(AE105),DAY(AE105))</f>
        <v>46713</v>
      </c>
      <c r="AG105" s="5"/>
      <c r="AH105" s="36" t="s">
        <v>161</v>
      </c>
      <c r="AI105" s="32">
        <v>46233</v>
      </c>
      <c r="AJ105" s="32" t="s">
        <v>404</v>
      </c>
      <c r="AK105" s="10">
        <v>1</v>
      </c>
      <c r="AL105" s="10" t="s">
        <v>576</v>
      </c>
      <c r="AM105" s="39">
        <v>45328</v>
      </c>
      <c r="AN105" s="39">
        <v>45328</v>
      </c>
      <c r="AO105" s="12"/>
      <c r="AP105" s="22">
        <v>45292</v>
      </c>
      <c r="AQ105" s="22">
        <v>47119</v>
      </c>
      <c r="AR105" s="22" t="s">
        <v>202</v>
      </c>
      <c r="AS105" s="22"/>
      <c r="AT105" s="38">
        <v>46233</v>
      </c>
      <c r="AU105" s="32" t="s">
        <v>404</v>
      </c>
      <c r="AV105" s="10">
        <v>1</v>
      </c>
      <c r="AW105" s="10" t="s">
        <v>579</v>
      </c>
      <c r="AX105" s="39">
        <v>45328</v>
      </c>
      <c r="AY105" s="39">
        <v>45328</v>
      </c>
      <c r="AZ105" s="12"/>
      <c r="BA105" s="22"/>
      <c r="BB105" s="34"/>
      <c r="BC105" s="22" t="s">
        <v>202</v>
      </c>
      <c r="BD105" s="34"/>
      <c r="BE105" s="32">
        <v>46233</v>
      </c>
      <c r="BF105" s="32" t="s">
        <v>404</v>
      </c>
      <c r="BG105" s="10">
        <v>1</v>
      </c>
      <c r="BH105" s="10" t="s">
        <v>582</v>
      </c>
      <c r="BI105" s="39">
        <v>45328</v>
      </c>
      <c r="BJ105" s="39">
        <v>45328</v>
      </c>
      <c r="BK105" s="12"/>
      <c r="BL105" s="22"/>
      <c r="BM105" s="34"/>
      <c r="BN105" s="22" t="s">
        <v>202</v>
      </c>
      <c r="BO105" s="22"/>
      <c r="BP105" s="32">
        <v>45503</v>
      </c>
      <c r="BQ105" s="32" t="s">
        <v>404</v>
      </c>
      <c r="BR105" s="12">
        <v>1</v>
      </c>
      <c r="BS105" s="12" t="s">
        <v>585</v>
      </c>
      <c r="BT105" s="39">
        <v>45328</v>
      </c>
      <c r="BU105" s="39">
        <v>45328</v>
      </c>
      <c r="BV105" s="12"/>
      <c r="BW105" s="23"/>
      <c r="BX105" s="34"/>
      <c r="BY105" s="22" t="s">
        <v>202</v>
      </c>
      <c r="BZ105" s="23"/>
      <c r="CA105" s="38">
        <v>46233</v>
      </c>
      <c r="CB105" s="32" t="s">
        <v>404</v>
      </c>
      <c r="CC105" s="23"/>
      <c r="CD105" s="23"/>
      <c r="CE105" s="23"/>
      <c r="CF105" s="23"/>
      <c r="CG105" s="23"/>
      <c r="CH105" s="23"/>
      <c r="CI105" s="31">
        <v>1</v>
      </c>
      <c r="CJ105" s="31" t="s">
        <v>588</v>
      </c>
      <c r="CK105" s="32">
        <v>45577</v>
      </c>
      <c r="CL105" s="32">
        <v>45577</v>
      </c>
      <c r="CM105" s="32">
        <v>46233</v>
      </c>
      <c r="CN105" s="32" t="s">
        <v>404</v>
      </c>
      <c r="CO105" s="4">
        <v>1</v>
      </c>
      <c r="CP105" s="4" t="s">
        <v>592</v>
      </c>
      <c r="CQ105" s="39">
        <v>45818</v>
      </c>
      <c r="CR105" s="39">
        <v>45818</v>
      </c>
      <c r="CS105" s="32">
        <v>46233</v>
      </c>
      <c r="CT105" s="32" t="s">
        <v>404</v>
      </c>
      <c r="CU105" s="4">
        <v>1</v>
      </c>
      <c r="CV105" s="4" t="s">
        <v>603</v>
      </c>
      <c r="CW105" s="39">
        <v>45792</v>
      </c>
      <c r="CX105" s="39">
        <v>45792</v>
      </c>
      <c r="CY105" s="33">
        <v>45658</v>
      </c>
      <c r="CZ105" s="34">
        <v>46388</v>
      </c>
      <c r="DA105" s="31" t="s">
        <v>166</v>
      </c>
      <c r="DB105" s="31" t="s">
        <v>167</v>
      </c>
      <c r="DC105" s="32">
        <v>46233</v>
      </c>
      <c r="DD105" s="32" t="s">
        <v>404</v>
      </c>
      <c r="DE105" s="11">
        <v>0</v>
      </c>
      <c r="DF105" s="11"/>
      <c r="DG105" s="11"/>
      <c r="DH105" s="11"/>
      <c r="DI105" s="11"/>
      <c r="DJ105" s="11"/>
      <c r="DK105" s="11">
        <v>0</v>
      </c>
      <c r="DL105" s="11"/>
      <c r="DM105" s="11"/>
      <c r="DN105" s="11"/>
      <c r="DO105" s="11"/>
      <c r="DP105" s="11"/>
      <c r="DQ105" s="31">
        <v>1</v>
      </c>
      <c r="DR105" s="31" t="s">
        <v>613</v>
      </c>
      <c r="DS105" s="43">
        <v>45731</v>
      </c>
      <c r="DT105" s="32">
        <f t="shared" si="30"/>
        <v>45731</v>
      </c>
      <c r="DU105" s="32">
        <v>46233</v>
      </c>
      <c r="DV105" s="32" t="s">
        <v>404</v>
      </c>
      <c r="DW105" s="4">
        <v>0</v>
      </c>
      <c r="DX105" s="4"/>
      <c r="DY105" s="4"/>
      <c r="DZ105" s="4"/>
      <c r="EA105" s="4"/>
      <c r="EB105" s="4"/>
      <c r="EC105" s="11">
        <v>0</v>
      </c>
      <c r="ED105" s="11"/>
      <c r="EE105" s="11"/>
      <c r="EF105" s="11">
        <v>0</v>
      </c>
      <c r="EG105" s="11"/>
      <c r="EH105" s="11"/>
      <c r="EI105" s="11"/>
      <c r="EJ105" s="26"/>
      <c r="EK105" s="26"/>
      <c r="EL105" s="26"/>
    </row>
    <row r="106" spans="1:142" hidden="1">
      <c r="A106" s="11">
        <v>103</v>
      </c>
      <c r="B106" s="115">
        <v>11927</v>
      </c>
      <c r="C106" s="10" t="s">
        <v>334</v>
      </c>
      <c r="D106" s="86">
        <v>1826800383</v>
      </c>
      <c r="E106" s="10" t="s">
        <v>44</v>
      </c>
      <c r="F106" s="26" t="s">
        <v>171</v>
      </c>
      <c r="G106" s="10" t="s">
        <v>125</v>
      </c>
      <c r="H106" s="10">
        <v>1</v>
      </c>
      <c r="I106" s="10" t="s">
        <v>540</v>
      </c>
      <c r="J106" s="43">
        <v>45000</v>
      </c>
      <c r="K106" s="43">
        <v>45000</v>
      </c>
      <c r="L106" s="32">
        <v>46200</v>
      </c>
      <c r="M106" s="32" t="s">
        <v>404</v>
      </c>
      <c r="N106" s="10">
        <v>1</v>
      </c>
      <c r="O106" s="10" t="s">
        <v>551</v>
      </c>
      <c r="P106" s="32">
        <f t="shared" si="28"/>
        <v>45925</v>
      </c>
      <c r="Q106" s="43">
        <v>45925</v>
      </c>
      <c r="R106" s="32">
        <v>46200</v>
      </c>
      <c r="S106" s="32" t="s">
        <v>404</v>
      </c>
      <c r="T106" s="10">
        <v>1</v>
      </c>
      <c r="U106" s="10" t="s">
        <v>563</v>
      </c>
      <c r="V106" s="32">
        <v>45818</v>
      </c>
      <c r="W106" s="32">
        <v>45818</v>
      </c>
      <c r="X106" s="32">
        <v>46200</v>
      </c>
      <c r="Y106" s="32" t="s">
        <v>404</v>
      </c>
      <c r="Z106" s="11">
        <v>0</v>
      </c>
      <c r="AA106" s="11"/>
      <c r="AB106" s="11"/>
      <c r="AC106" s="11"/>
      <c r="AD106" s="46"/>
      <c r="AE106" s="11"/>
      <c r="AF106" s="11"/>
      <c r="AG106" s="11"/>
      <c r="AH106" s="11"/>
      <c r="AI106" s="11"/>
      <c r="AJ106" s="11"/>
      <c r="AK106" s="11">
        <v>0</v>
      </c>
      <c r="AL106" s="11"/>
      <c r="AM106" s="11"/>
      <c r="AN106" s="11"/>
      <c r="AO106" s="46"/>
      <c r="AP106" s="11"/>
      <c r="AQ106" s="11"/>
      <c r="AR106" s="11"/>
      <c r="AS106" s="11"/>
      <c r="AT106" s="11"/>
      <c r="AU106" s="11"/>
      <c r="AV106" s="11">
        <v>0</v>
      </c>
      <c r="AW106" s="11"/>
      <c r="AX106" s="11"/>
      <c r="AY106" s="11"/>
      <c r="AZ106" s="46"/>
      <c r="BA106" s="11"/>
      <c r="BB106" s="11"/>
      <c r="BC106" s="11"/>
      <c r="BD106" s="11"/>
      <c r="BE106" s="11"/>
      <c r="BF106" s="11"/>
      <c r="BG106" s="11">
        <v>0</v>
      </c>
      <c r="BH106" s="11"/>
      <c r="BI106" s="11"/>
      <c r="BJ106" s="11"/>
      <c r="BK106" s="46"/>
      <c r="BL106" s="46"/>
      <c r="BM106" s="46"/>
      <c r="BN106" s="46"/>
      <c r="BO106" s="46"/>
      <c r="BP106" s="11"/>
      <c r="BQ106" s="11"/>
      <c r="BR106" s="46">
        <v>0</v>
      </c>
      <c r="BS106" s="46"/>
      <c r="BT106" s="46"/>
      <c r="BU106" s="46"/>
      <c r="BV106" s="46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>
        <v>0</v>
      </c>
      <c r="CJ106" s="11"/>
      <c r="CK106" s="11"/>
      <c r="CL106" s="11"/>
      <c r="CM106" s="11"/>
      <c r="CN106" s="11"/>
      <c r="CO106" s="4">
        <v>1</v>
      </c>
      <c r="CP106" s="4" t="s">
        <v>593</v>
      </c>
      <c r="CQ106" s="39">
        <v>45818</v>
      </c>
      <c r="CR106" s="39">
        <v>45818</v>
      </c>
      <c r="CS106" s="32">
        <v>46200</v>
      </c>
      <c r="CT106" s="32" t="s">
        <v>404</v>
      </c>
      <c r="CU106" s="10">
        <v>0</v>
      </c>
      <c r="CV106" s="10"/>
      <c r="CW106" s="39"/>
      <c r="CX106" s="39"/>
      <c r="CY106" s="33"/>
      <c r="CZ106" s="34"/>
      <c r="DA106" s="31"/>
      <c r="DB106" s="31"/>
      <c r="DC106" s="31"/>
      <c r="DD106" s="31"/>
      <c r="DE106" s="10">
        <v>1</v>
      </c>
      <c r="DF106" s="10" t="s">
        <v>608</v>
      </c>
      <c r="DG106" s="40">
        <v>45545</v>
      </c>
      <c r="DH106" s="32">
        <f t="shared" ref="DH106:DH107" si="47">DG106</f>
        <v>45545</v>
      </c>
      <c r="DI106" s="32">
        <v>46051</v>
      </c>
      <c r="DJ106" s="32" t="s">
        <v>404</v>
      </c>
      <c r="DK106" s="11">
        <v>0</v>
      </c>
      <c r="DL106" s="11"/>
      <c r="DM106" s="11"/>
      <c r="DN106" s="11"/>
      <c r="DO106" s="11"/>
      <c r="DP106" s="11"/>
      <c r="DQ106" s="31">
        <v>1</v>
      </c>
      <c r="DR106" s="31" t="s">
        <v>614</v>
      </c>
      <c r="DS106" s="43">
        <v>45731</v>
      </c>
      <c r="DT106" s="32">
        <f t="shared" si="30"/>
        <v>45731</v>
      </c>
      <c r="DU106" s="32">
        <v>46051</v>
      </c>
      <c r="DV106" s="32" t="s">
        <v>404</v>
      </c>
      <c r="DW106" s="4">
        <v>1</v>
      </c>
      <c r="DX106" s="4" t="s">
        <v>622</v>
      </c>
      <c r="DY106" s="43">
        <v>45773</v>
      </c>
      <c r="DZ106" s="32">
        <f>DY106</f>
        <v>45773</v>
      </c>
      <c r="EA106" s="32">
        <v>46051</v>
      </c>
      <c r="EB106" s="32" t="s">
        <v>404</v>
      </c>
      <c r="EC106" s="11">
        <v>0</v>
      </c>
      <c r="ED106" s="11"/>
      <c r="EE106" s="11"/>
      <c r="EF106" s="4">
        <v>1</v>
      </c>
      <c r="EG106" s="4" t="s">
        <v>602</v>
      </c>
      <c r="EH106" s="43">
        <v>45400</v>
      </c>
      <c r="EI106" s="43">
        <v>45400</v>
      </c>
      <c r="EJ106" s="32">
        <v>46051</v>
      </c>
      <c r="EK106" s="32" t="s">
        <v>404</v>
      </c>
      <c r="EL106" s="26"/>
    </row>
    <row r="107" spans="1:142" hidden="1">
      <c r="A107" s="11">
        <v>104</v>
      </c>
      <c r="B107" s="115">
        <v>10345</v>
      </c>
      <c r="C107" s="126" t="s">
        <v>129</v>
      </c>
      <c r="D107" s="13">
        <v>1313088204</v>
      </c>
      <c r="E107" s="10" t="s">
        <v>30</v>
      </c>
      <c r="F107" s="26" t="s">
        <v>214</v>
      </c>
      <c r="G107" s="10" t="s">
        <v>125</v>
      </c>
      <c r="H107" s="10">
        <v>1</v>
      </c>
      <c r="I107" s="10" t="s">
        <v>541</v>
      </c>
      <c r="J107" s="38">
        <f t="shared" ref="J107" si="48">K107</f>
        <v>45498</v>
      </c>
      <c r="K107" s="38">
        <v>45498</v>
      </c>
      <c r="L107" s="32">
        <v>46233</v>
      </c>
      <c r="M107" s="32" t="s">
        <v>404</v>
      </c>
      <c r="N107" s="10">
        <v>1</v>
      </c>
      <c r="O107" s="10" t="s">
        <v>552</v>
      </c>
      <c r="P107" s="32">
        <f t="shared" si="28"/>
        <v>45402</v>
      </c>
      <c r="Q107" s="43">
        <v>45402</v>
      </c>
      <c r="R107" s="32">
        <v>46233</v>
      </c>
      <c r="S107" s="32" t="s">
        <v>404</v>
      </c>
      <c r="T107" s="10">
        <v>1</v>
      </c>
      <c r="U107" s="10" t="s">
        <v>564</v>
      </c>
      <c r="V107" s="32">
        <v>45818</v>
      </c>
      <c r="W107" s="32">
        <v>45818</v>
      </c>
      <c r="X107" s="32">
        <v>46233</v>
      </c>
      <c r="Y107" s="32" t="s">
        <v>404</v>
      </c>
      <c r="Z107" s="10">
        <v>1</v>
      </c>
      <c r="AA107" s="10" t="s">
        <v>574</v>
      </c>
      <c r="AB107" s="32">
        <f t="shared" ref="AB107" si="49">AC107</f>
        <v>45161</v>
      </c>
      <c r="AC107" s="32">
        <v>45161</v>
      </c>
      <c r="AD107" s="12"/>
      <c r="AE107" s="22">
        <v>44887</v>
      </c>
      <c r="AF107" s="22">
        <f>DATE(YEAR(AE107)+5,MONTH(AE107),DAY(AE107))</f>
        <v>46713</v>
      </c>
      <c r="AG107" s="5"/>
      <c r="AH107" s="36" t="s">
        <v>161</v>
      </c>
      <c r="AI107" s="32">
        <v>46233</v>
      </c>
      <c r="AJ107" s="32" t="s">
        <v>404</v>
      </c>
      <c r="AK107" s="10">
        <v>1</v>
      </c>
      <c r="AL107" s="10" t="s">
        <v>577</v>
      </c>
      <c r="AM107" s="32">
        <v>45161</v>
      </c>
      <c r="AN107" s="32">
        <v>45161</v>
      </c>
      <c r="AO107" s="12"/>
      <c r="AP107" s="22">
        <v>44856</v>
      </c>
      <c r="AQ107" s="34">
        <v>46687</v>
      </c>
      <c r="AR107" s="22" t="s">
        <v>163</v>
      </c>
      <c r="AS107" s="22" t="s">
        <v>162</v>
      </c>
      <c r="AT107" s="32">
        <v>46233</v>
      </c>
      <c r="AU107" s="32" t="s">
        <v>404</v>
      </c>
      <c r="AV107" s="10">
        <v>1</v>
      </c>
      <c r="AW107" s="10" t="s">
        <v>580</v>
      </c>
      <c r="AX107" s="32">
        <v>45161</v>
      </c>
      <c r="AY107" s="32">
        <v>45161</v>
      </c>
      <c r="AZ107" s="12"/>
      <c r="BA107" s="22">
        <v>44703</v>
      </c>
      <c r="BB107" s="34">
        <v>46529</v>
      </c>
      <c r="BC107" s="22" t="s">
        <v>163</v>
      </c>
      <c r="BD107" s="34" t="s">
        <v>1210</v>
      </c>
      <c r="BE107" s="32">
        <v>46233</v>
      </c>
      <c r="BF107" s="32" t="s">
        <v>404</v>
      </c>
      <c r="BG107" s="10">
        <v>1</v>
      </c>
      <c r="BH107" s="10" t="s">
        <v>583</v>
      </c>
      <c r="BI107" s="32">
        <v>45161</v>
      </c>
      <c r="BJ107" s="32">
        <v>45161</v>
      </c>
      <c r="BK107" s="12"/>
      <c r="BL107" s="22">
        <v>44703</v>
      </c>
      <c r="BM107" s="34">
        <v>46529</v>
      </c>
      <c r="BN107" s="22" t="s">
        <v>163</v>
      </c>
      <c r="BO107" s="22" t="s">
        <v>164</v>
      </c>
      <c r="BP107" s="32">
        <v>46233</v>
      </c>
      <c r="BQ107" s="32" t="s">
        <v>404</v>
      </c>
      <c r="BR107" s="12">
        <v>1</v>
      </c>
      <c r="BS107" s="12" t="s">
        <v>586</v>
      </c>
      <c r="BT107" s="32">
        <v>45161</v>
      </c>
      <c r="BU107" s="32">
        <v>45161</v>
      </c>
      <c r="BV107" s="12"/>
      <c r="BW107" s="23">
        <v>44483</v>
      </c>
      <c r="BX107" s="34">
        <v>46674</v>
      </c>
      <c r="BY107" s="22" t="s">
        <v>163</v>
      </c>
      <c r="BZ107" s="23" t="s">
        <v>165</v>
      </c>
      <c r="CA107" s="32">
        <v>46233</v>
      </c>
      <c r="CB107" s="32" t="s">
        <v>404</v>
      </c>
      <c r="CC107" s="23"/>
      <c r="CD107" s="23"/>
      <c r="CE107" s="23"/>
      <c r="CF107" s="23"/>
      <c r="CG107" s="23"/>
      <c r="CH107" s="23"/>
      <c r="CI107" s="31">
        <v>1</v>
      </c>
      <c r="CJ107" s="31" t="s">
        <v>589</v>
      </c>
      <c r="CK107" s="32">
        <v>45577</v>
      </c>
      <c r="CL107" s="32">
        <v>45577</v>
      </c>
      <c r="CM107" s="32">
        <v>46233</v>
      </c>
      <c r="CN107" s="32" t="s">
        <v>404</v>
      </c>
      <c r="CO107" s="4">
        <v>1</v>
      </c>
      <c r="CP107" s="4" t="s">
        <v>594</v>
      </c>
      <c r="CQ107" s="39">
        <v>45818</v>
      </c>
      <c r="CR107" s="39">
        <v>45818</v>
      </c>
      <c r="CS107" s="32">
        <v>46233</v>
      </c>
      <c r="CT107" s="32" t="s">
        <v>404</v>
      </c>
      <c r="CU107" s="4">
        <v>1</v>
      </c>
      <c r="CV107" s="4" t="s">
        <v>603</v>
      </c>
      <c r="CW107" s="39">
        <v>45792</v>
      </c>
      <c r="CX107" s="39">
        <v>45792</v>
      </c>
      <c r="CY107" s="33">
        <v>45658</v>
      </c>
      <c r="CZ107" s="34">
        <v>46388</v>
      </c>
      <c r="DA107" s="31" t="s">
        <v>166</v>
      </c>
      <c r="DB107" s="31" t="s">
        <v>167</v>
      </c>
      <c r="DC107" s="32">
        <v>46233</v>
      </c>
      <c r="DD107" s="32" t="s">
        <v>404</v>
      </c>
      <c r="DE107" s="11">
        <v>1</v>
      </c>
      <c r="DF107" s="10" t="s">
        <v>609</v>
      </c>
      <c r="DG107" s="40">
        <v>45545</v>
      </c>
      <c r="DH107" s="32">
        <f t="shared" si="47"/>
        <v>45545</v>
      </c>
      <c r="DI107" s="32">
        <v>46233</v>
      </c>
      <c r="DJ107" s="32" t="s">
        <v>404</v>
      </c>
      <c r="DK107" s="11">
        <v>0</v>
      </c>
      <c r="DL107" s="11"/>
      <c r="DM107" s="11"/>
      <c r="DN107" s="11"/>
      <c r="DO107" s="11"/>
      <c r="DP107" s="11"/>
      <c r="DQ107" s="31">
        <v>1</v>
      </c>
      <c r="DR107" s="31" t="s">
        <v>615</v>
      </c>
      <c r="DS107" s="43">
        <v>45731</v>
      </c>
      <c r="DT107" s="32">
        <f t="shared" si="30"/>
        <v>45731</v>
      </c>
      <c r="DU107" s="32">
        <v>46233</v>
      </c>
      <c r="DV107" s="32" t="s">
        <v>404</v>
      </c>
      <c r="DW107" s="4">
        <v>0</v>
      </c>
      <c r="DX107" s="4"/>
      <c r="DY107" s="4"/>
      <c r="DZ107" s="4"/>
      <c r="EA107" s="4"/>
      <c r="EB107" s="4"/>
      <c r="EC107" s="11">
        <v>0</v>
      </c>
      <c r="ED107" s="11"/>
      <c r="EE107" s="11"/>
      <c r="EF107" s="11">
        <v>0</v>
      </c>
      <c r="EG107" s="11"/>
      <c r="EH107" s="11"/>
      <c r="EI107" s="11"/>
      <c r="EJ107" s="26"/>
      <c r="EK107" s="26"/>
      <c r="EL107" s="26"/>
    </row>
    <row r="108" spans="1:142" hidden="1">
      <c r="A108" s="11">
        <v>105</v>
      </c>
      <c r="B108" s="115">
        <v>10756</v>
      </c>
      <c r="C108" s="10" t="s">
        <v>130</v>
      </c>
      <c r="D108" s="15">
        <v>1313088447</v>
      </c>
      <c r="E108" s="10" t="s">
        <v>33</v>
      </c>
      <c r="F108" s="26" t="s">
        <v>171</v>
      </c>
      <c r="G108" s="10" t="s">
        <v>125</v>
      </c>
      <c r="H108" s="4">
        <v>1</v>
      </c>
      <c r="I108" s="10" t="s">
        <v>542</v>
      </c>
      <c r="J108" s="43">
        <v>45488</v>
      </c>
      <c r="K108" s="43">
        <v>45488</v>
      </c>
      <c r="L108" s="32">
        <v>46200</v>
      </c>
      <c r="M108" s="32" t="s">
        <v>404</v>
      </c>
      <c r="N108" s="10">
        <v>1</v>
      </c>
      <c r="O108" s="10" t="s">
        <v>553</v>
      </c>
      <c r="P108" s="32">
        <f t="shared" si="28"/>
        <v>45925</v>
      </c>
      <c r="Q108" s="43">
        <v>45925</v>
      </c>
      <c r="R108" s="32">
        <v>46200</v>
      </c>
      <c r="S108" s="32" t="s">
        <v>404</v>
      </c>
      <c r="T108" s="4">
        <v>1</v>
      </c>
      <c r="U108" s="10" t="s">
        <v>565</v>
      </c>
      <c r="V108" s="32">
        <v>45818</v>
      </c>
      <c r="W108" s="32">
        <v>45818</v>
      </c>
      <c r="X108" s="32">
        <v>46200</v>
      </c>
      <c r="Y108" s="32" t="s">
        <v>404</v>
      </c>
      <c r="Z108" s="11">
        <v>0</v>
      </c>
      <c r="AA108" s="11"/>
      <c r="AB108" s="11"/>
      <c r="AC108" s="11"/>
      <c r="AD108" s="46"/>
      <c r="AE108" s="11"/>
      <c r="AF108" s="11"/>
      <c r="AG108" s="11"/>
      <c r="AH108" s="11"/>
      <c r="AI108" s="11"/>
      <c r="AJ108" s="11"/>
      <c r="AK108" s="11">
        <v>0</v>
      </c>
      <c r="AL108" s="11"/>
      <c r="AM108" s="11"/>
      <c r="AN108" s="11"/>
      <c r="AO108" s="46"/>
      <c r="AP108" s="11"/>
      <c r="AQ108" s="11"/>
      <c r="AR108" s="11"/>
      <c r="AS108" s="11"/>
      <c r="AT108" s="11"/>
      <c r="AU108" s="11"/>
      <c r="AV108" s="11">
        <v>0</v>
      </c>
      <c r="AW108" s="11"/>
      <c r="AX108" s="11"/>
      <c r="AY108" s="11"/>
      <c r="AZ108" s="46"/>
      <c r="BA108" s="11"/>
      <c r="BB108" s="11"/>
      <c r="BC108" s="11"/>
      <c r="BD108" s="11"/>
      <c r="BE108" s="11"/>
      <c r="BF108" s="11"/>
      <c r="BG108" s="11">
        <v>0</v>
      </c>
      <c r="BH108" s="11"/>
      <c r="BI108" s="11"/>
      <c r="BJ108" s="11"/>
      <c r="BK108" s="46"/>
      <c r="BL108" s="46"/>
      <c r="BM108" s="46"/>
      <c r="BN108" s="46"/>
      <c r="BO108" s="46"/>
      <c r="BP108" s="46"/>
      <c r="BQ108" s="46"/>
      <c r="BR108" s="46">
        <v>0</v>
      </c>
      <c r="BS108" s="46"/>
      <c r="BT108" s="46"/>
      <c r="BU108" s="46"/>
      <c r="BV108" s="46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>
        <v>0</v>
      </c>
      <c r="CJ108" s="11"/>
      <c r="CK108" s="11"/>
      <c r="CL108" s="11"/>
      <c r="CM108" s="11"/>
      <c r="CN108" s="11"/>
      <c r="CO108" s="4">
        <v>1</v>
      </c>
      <c r="CP108" s="4" t="s">
        <v>595</v>
      </c>
      <c r="CQ108" s="39">
        <v>45818</v>
      </c>
      <c r="CR108" s="39">
        <v>45818</v>
      </c>
      <c r="CS108" s="32">
        <v>46200</v>
      </c>
      <c r="CT108" s="32" t="s">
        <v>404</v>
      </c>
      <c r="CU108" s="4">
        <v>1</v>
      </c>
      <c r="CV108" s="4" t="s">
        <v>604</v>
      </c>
      <c r="CW108" s="39">
        <v>45792</v>
      </c>
      <c r="CX108" s="39">
        <v>45792</v>
      </c>
      <c r="CY108" s="33">
        <v>45658</v>
      </c>
      <c r="CZ108" s="34">
        <v>46388</v>
      </c>
      <c r="DA108" s="31" t="s">
        <v>166</v>
      </c>
      <c r="DB108" s="31" t="s">
        <v>167</v>
      </c>
      <c r="DC108" s="32">
        <v>46200</v>
      </c>
      <c r="DD108" s="32" t="s">
        <v>404</v>
      </c>
      <c r="DE108" s="11">
        <v>0</v>
      </c>
      <c r="DF108" s="11"/>
      <c r="DG108" s="43"/>
      <c r="DH108" s="11"/>
      <c r="DI108" s="11"/>
      <c r="DJ108" s="11"/>
      <c r="DK108" s="11">
        <v>0</v>
      </c>
      <c r="DL108" s="11"/>
      <c r="DM108" s="11"/>
      <c r="DN108" s="11"/>
      <c r="DO108" s="11"/>
      <c r="DP108" s="11"/>
      <c r="DQ108" s="31">
        <v>1</v>
      </c>
      <c r="DR108" s="31" t="s">
        <v>616</v>
      </c>
      <c r="DS108" s="43">
        <v>45731</v>
      </c>
      <c r="DT108" s="32">
        <f t="shared" si="30"/>
        <v>45731</v>
      </c>
      <c r="DU108" s="32">
        <v>46051</v>
      </c>
      <c r="DV108" s="32" t="s">
        <v>404</v>
      </c>
      <c r="DW108" s="4">
        <v>1</v>
      </c>
      <c r="DX108" s="4" t="s">
        <v>623</v>
      </c>
      <c r="DY108" s="43">
        <v>45773</v>
      </c>
      <c r="DZ108" s="32">
        <f>DY108</f>
        <v>45773</v>
      </c>
      <c r="EA108" s="32">
        <v>46051</v>
      </c>
      <c r="EB108" s="32" t="s">
        <v>404</v>
      </c>
      <c r="EC108" s="11">
        <v>0</v>
      </c>
      <c r="ED108" s="11"/>
      <c r="EE108" s="11"/>
      <c r="EF108" s="11">
        <v>0</v>
      </c>
      <c r="EG108" s="11"/>
      <c r="EH108" s="11"/>
      <c r="EI108" s="11"/>
      <c r="EJ108" s="26"/>
      <c r="EK108" s="26"/>
      <c r="EL108" s="26"/>
    </row>
    <row r="109" spans="1:142" hidden="1">
      <c r="A109" s="11">
        <v>106</v>
      </c>
      <c r="B109" s="114">
        <v>11899</v>
      </c>
      <c r="C109" s="87" t="s">
        <v>338</v>
      </c>
      <c r="D109" s="10">
        <v>1313088467</v>
      </c>
      <c r="E109" s="13" t="s">
        <v>35</v>
      </c>
      <c r="F109" s="26" t="s">
        <v>171</v>
      </c>
      <c r="G109" s="10" t="s">
        <v>125</v>
      </c>
      <c r="H109" s="10">
        <v>1</v>
      </c>
      <c r="I109" s="10" t="s">
        <v>543</v>
      </c>
      <c r="J109" s="43">
        <v>45703</v>
      </c>
      <c r="K109" s="43">
        <v>45703</v>
      </c>
      <c r="L109" s="32">
        <v>46200</v>
      </c>
      <c r="M109" s="32" t="s">
        <v>404</v>
      </c>
      <c r="N109" s="10">
        <v>1</v>
      </c>
      <c r="O109" s="10" t="s">
        <v>554</v>
      </c>
      <c r="P109" s="32">
        <f t="shared" si="28"/>
        <v>45925</v>
      </c>
      <c r="Q109" s="43">
        <v>45925</v>
      </c>
      <c r="R109" s="32">
        <v>46200</v>
      </c>
      <c r="S109" s="32" t="s">
        <v>404</v>
      </c>
      <c r="T109" s="10">
        <v>1</v>
      </c>
      <c r="U109" s="10" t="s">
        <v>566</v>
      </c>
      <c r="V109" s="32">
        <v>45818</v>
      </c>
      <c r="W109" s="32">
        <v>45818</v>
      </c>
      <c r="X109" s="32">
        <v>46200</v>
      </c>
      <c r="Y109" s="32" t="s">
        <v>404</v>
      </c>
      <c r="Z109" s="11">
        <v>0</v>
      </c>
      <c r="AA109" s="11"/>
      <c r="AB109" s="11"/>
      <c r="AC109" s="11"/>
      <c r="AD109" s="46"/>
      <c r="AE109" s="11"/>
      <c r="AF109" s="11"/>
      <c r="AG109" s="11"/>
      <c r="AH109" s="11"/>
      <c r="AI109" s="11"/>
      <c r="AJ109" s="11"/>
      <c r="AK109" s="11">
        <v>0</v>
      </c>
      <c r="AL109" s="11"/>
      <c r="AM109" s="11"/>
      <c r="AN109" s="11"/>
      <c r="AO109" s="46"/>
      <c r="AP109" s="11"/>
      <c r="AQ109" s="11"/>
      <c r="AR109" s="11"/>
      <c r="AS109" s="11"/>
      <c r="AT109" s="11"/>
      <c r="AU109" s="11"/>
      <c r="AV109" s="11">
        <v>0</v>
      </c>
      <c r="AW109" s="11"/>
      <c r="AX109" s="11"/>
      <c r="AY109" s="11"/>
      <c r="AZ109" s="46"/>
      <c r="BA109" s="11"/>
      <c r="BB109" s="11"/>
      <c r="BC109" s="11"/>
      <c r="BD109" s="11"/>
      <c r="BE109" s="11"/>
      <c r="BF109" s="11"/>
      <c r="BG109" s="11">
        <v>0</v>
      </c>
      <c r="BH109" s="11"/>
      <c r="BI109" s="11"/>
      <c r="BJ109" s="11"/>
      <c r="BK109" s="46"/>
      <c r="BL109" s="46"/>
      <c r="BM109" s="46"/>
      <c r="BN109" s="46"/>
      <c r="BO109" s="46"/>
      <c r="BP109" s="46"/>
      <c r="BQ109" s="46"/>
      <c r="BR109" s="46">
        <v>0</v>
      </c>
      <c r="BS109" s="46"/>
      <c r="BT109" s="46"/>
      <c r="BU109" s="46"/>
      <c r="BV109" s="46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>
        <v>0</v>
      </c>
      <c r="CJ109" s="11"/>
      <c r="CK109" s="11"/>
      <c r="CL109" s="11"/>
      <c r="CM109" s="11"/>
      <c r="CN109" s="11"/>
      <c r="CO109" s="4">
        <v>1</v>
      </c>
      <c r="CP109" s="4" t="s">
        <v>596</v>
      </c>
      <c r="CQ109" s="39">
        <v>45818</v>
      </c>
      <c r="CR109" s="39">
        <v>45818</v>
      </c>
      <c r="CS109" s="32">
        <v>46200</v>
      </c>
      <c r="CT109" s="32" t="s">
        <v>404</v>
      </c>
      <c r="CU109" s="11">
        <v>0</v>
      </c>
      <c r="CV109" s="11"/>
      <c r="CW109" s="39"/>
      <c r="CX109" s="39"/>
      <c r="CY109" s="33"/>
      <c r="CZ109" s="34"/>
      <c r="DA109" s="31"/>
      <c r="DB109" s="31"/>
      <c r="DC109" s="31"/>
      <c r="DD109" s="31"/>
      <c r="DE109" s="11">
        <v>0</v>
      </c>
      <c r="DF109" s="11"/>
      <c r="DG109" s="43"/>
      <c r="DH109" s="11"/>
      <c r="DI109" s="11"/>
      <c r="DJ109" s="11"/>
      <c r="DK109" s="11">
        <v>0</v>
      </c>
      <c r="DL109" s="11"/>
      <c r="DM109" s="11"/>
      <c r="DN109" s="11"/>
      <c r="DO109" s="11"/>
      <c r="DP109" s="11"/>
      <c r="DQ109" s="31">
        <v>1</v>
      </c>
      <c r="DR109" s="31" t="s">
        <v>617</v>
      </c>
      <c r="DS109" s="43">
        <v>45731</v>
      </c>
      <c r="DT109" s="32">
        <f t="shared" si="30"/>
        <v>45731</v>
      </c>
      <c r="DU109" s="32">
        <v>46051</v>
      </c>
      <c r="DV109" s="32" t="s">
        <v>404</v>
      </c>
      <c r="DW109" s="11">
        <v>0</v>
      </c>
      <c r="DX109" s="11"/>
      <c r="DY109" s="11"/>
      <c r="DZ109" s="11"/>
      <c r="EA109" s="11"/>
      <c r="EB109" s="11"/>
      <c r="EC109" s="11">
        <v>0</v>
      </c>
      <c r="ED109" s="11"/>
      <c r="EE109" s="11"/>
      <c r="EF109" s="11">
        <v>0</v>
      </c>
      <c r="EG109" s="11"/>
      <c r="EH109" s="11"/>
      <c r="EI109" s="11"/>
      <c r="EJ109" s="26"/>
      <c r="EK109" s="26"/>
      <c r="EL109" s="26"/>
    </row>
    <row r="110" spans="1:142" hidden="1">
      <c r="A110" s="11">
        <v>107</v>
      </c>
      <c r="B110" s="115">
        <v>11280</v>
      </c>
      <c r="C110" s="55" t="s">
        <v>212</v>
      </c>
      <c r="D110" s="10">
        <v>1710390736</v>
      </c>
      <c r="E110" s="13" t="s">
        <v>45</v>
      </c>
      <c r="F110" s="26" t="s">
        <v>171</v>
      </c>
      <c r="G110" s="10" t="s">
        <v>125</v>
      </c>
      <c r="H110" s="4">
        <v>1</v>
      </c>
      <c r="I110" s="10" t="s">
        <v>544</v>
      </c>
      <c r="J110" s="39">
        <v>45828</v>
      </c>
      <c r="K110" s="39">
        <v>45828</v>
      </c>
      <c r="L110" s="32">
        <v>46200</v>
      </c>
      <c r="M110" s="32" t="s">
        <v>404</v>
      </c>
      <c r="N110" s="10">
        <v>1</v>
      </c>
      <c r="O110" s="10" t="s">
        <v>555</v>
      </c>
      <c r="P110" s="32">
        <f t="shared" si="28"/>
        <v>45925</v>
      </c>
      <c r="Q110" s="43">
        <v>45925</v>
      </c>
      <c r="R110" s="32">
        <v>46200</v>
      </c>
      <c r="S110" s="32" t="s">
        <v>404</v>
      </c>
      <c r="T110" s="4">
        <v>1</v>
      </c>
      <c r="U110" s="10" t="s">
        <v>567</v>
      </c>
      <c r="V110" s="32">
        <v>45818</v>
      </c>
      <c r="W110" s="32">
        <v>45818</v>
      </c>
      <c r="X110" s="32">
        <v>46200</v>
      </c>
      <c r="Y110" s="32" t="s">
        <v>404</v>
      </c>
      <c r="Z110" s="11">
        <v>0</v>
      </c>
      <c r="AA110" s="11"/>
      <c r="AB110" s="11"/>
      <c r="AC110" s="11"/>
      <c r="AD110" s="46"/>
      <c r="AE110" s="11"/>
      <c r="AF110" s="11"/>
      <c r="AG110" s="11"/>
      <c r="AH110" s="11"/>
      <c r="AI110" s="11"/>
      <c r="AJ110" s="11"/>
      <c r="AK110" s="11">
        <v>0</v>
      </c>
      <c r="AL110" s="11"/>
      <c r="AM110" s="11"/>
      <c r="AN110" s="11"/>
      <c r="AO110" s="46"/>
      <c r="AP110" s="11"/>
      <c r="AQ110" s="11"/>
      <c r="AR110" s="11"/>
      <c r="AS110" s="11"/>
      <c r="AT110" s="11"/>
      <c r="AU110" s="11"/>
      <c r="AV110" s="11">
        <v>0</v>
      </c>
      <c r="AW110" s="11"/>
      <c r="AX110" s="11"/>
      <c r="AY110" s="11"/>
      <c r="AZ110" s="46"/>
      <c r="BA110" s="11"/>
      <c r="BB110" s="11"/>
      <c r="BC110" s="11"/>
      <c r="BD110" s="11"/>
      <c r="BE110" s="11"/>
      <c r="BF110" s="11"/>
      <c r="BG110" s="11">
        <v>0</v>
      </c>
      <c r="BH110" s="11"/>
      <c r="BI110" s="11"/>
      <c r="BJ110" s="11"/>
      <c r="BK110" s="46"/>
      <c r="BL110" s="46"/>
      <c r="BM110" s="46"/>
      <c r="BN110" s="46"/>
      <c r="BO110" s="46"/>
      <c r="BP110" s="46"/>
      <c r="BQ110" s="46"/>
      <c r="BR110" s="46">
        <v>0</v>
      </c>
      <c r="BS110" s="46"/>
      <c r="BT110" s="46"/>
      <c r="BU110" s="46"/>
      <c r="BV110" s="46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>
        <v>0</v>
      </c>
      <c r="CJ110" s="11"/>
      <c r="CK110" s="11"/>
      <c r="CL110" s="11"/>
      <c r="CM110" s="11"/>
      <c r="CN110" s="11"/>
      <c r="CO110" s="4">
        <v>1</v>
      </c>
      <c r="CP110" s="4" t="s">
        <v>597</v>
      </c>
      <c r="CQ110" s="39">
        <v>45818</v>
      </c>
      <c r="CR110" s="39">
        <v>45818</v>
      </c>
      <c r="CS110" s="32">
        <v>46200</v>
      </c>
      <c r="CT110" s="32" t="s">
        <v>404</v>
      </c>
      <c r="CU110" s="4">
        <v>0</v>
      </c>
      <c r="CV110" s="4"/>
      <c r="CW110" s="39"/>
      <c r="CX110" s="39"/>
      <c r="CY110" s="33"/>
      <c r="CZ110" s="34"/>
      <c r="DA110" s="31"/>
      <c r="DB110" s="31"/>
      <c r="DC110" s="31"/>
      <c r="DD110" s="31"/>
      <c r="DE110" s="11">
        <v>0</v>
      </c>
      <c r="DF110" s="11"/>
      <c r="DG110" s="43"/>
      <c r="DH110" s="11"/>
      <c r="DI110" s="11"/>
      <c r="DJ110" s="11"/>
      <c r="DK110" s="11">
        <v>0</v>
      </c>
      <c r="DL110" s="11"/>
      <c r="DM110" s="11"/>
      <c r="DN110" s="11"/>
      <c r="DO110" s="11"/>
      <c r="DP110" s="11"/>
      <c r="DQ110" s="31">
        <v>1</v>
      </c>
      <c r="DR110" s="31" t="s">
        <v>618</v>
      </c>
      <c r="DS110" s="43">
        <v>45731</v>
      </c>
      <c r="DT110" s="32">
        <f t="shared" si="30"/>
        <v>45731</v>
      </c>
      <c r="DU110" s="32">
        <v>46051</v>
      </c>
      <c r="DV110" s="32" t="s">
        <v>404</v>
      </c>
      <c r="DW110" s="4">
        <v>1</v>
      </c>
      <c r="DX110" s="4" t="s">
        <v>624</v>
      </c>
      <c r="DY110" s="43">
        <v>45773</v>
      </c>
      <c r="DZ110" s="32">
        <f t="shared" ref="DZ110:DZ111" si="50">DY110</f>
        <v>45773</v>
      </c>
      <c r="EA110" s="32">
        <v>46051</v>
      </c>
      <c r="EB110" s="32" t="s">
        <v>404</v>
      </c>
      <c r="EC110" s="11">
        <v>0</v>
      </c>
      <c r="ED110" s="11"/>
      <c r="EE110" s="11"/>
      <c r="EF110" s="11">
        <v>0</v>
      </c>
      <c r="EG110" s="11"/>
      <c r="EH110" s="11"/>
      <c r="EI110" s="11"/>
      <c r="EJ110" s="26"/>
      <c r="EK110" s="26"/>
      <c r="EL110" s="26"/>
    </row>
    <row r="111" spans="1:142" hidden="1">
      <c r="A111" s="11">
        <v>108</v>
      </c>
      <c r="B111" s="117">
        <v>11718</v>
      </c>
      <c r="C111" s="56" t="s">
        <v>234</v>
      </c>
      <c r="D111" s="16">
        <v>1313088512</v>
      </c>
      <c r="E111" s="10" t="s">
        <v>42</v>
      </c>
      <c r="F111" s="26" t="s">
        <v>171</v>
      </c>
      <c r="G111" s="10" t="s">
        <v>125</v>
      </c>
      <c r="H111" s="4">
        <v>1</v>
      </c>
      <c r="I111" s="10" t="s">
        <v>545</v>
      </c>
      <c r="J111" s="39">
        <v>45828</v>
      </c>
      <c r="K111" s="39">
        <v>45828</v>
      </c>
      <c r="L111" s="32">
        <v>46200</v>
      </c>
      <c r="M111" s="32" t="s">
        <v>404</v>
      </c>
      <c r="N111" s="10">
        <v>1</v>
      </c>
      <c r="O111" s="10" t="s">
        <v>556</v>
      </c>
      <c r="P111" s="32">
        <f t="shared" si="28"/>
        <v>45925</v>
      </c>
      <c r="Q111" s="43">
        <v>45925</v>
      </c>
      <c r="R111" s="32">
        <v>46200</v>
      </c>
      <c r="S111" s="32" t="s">
        <v>404</v>
      </c>
      <c r="T111" s="4">
        <v>1</v>
      </c>
      <c r="U111" s="10" t="s">
        <v>568</v>
      </c>
      <c r="V111" s="32">
        <v>45818</v>
      </c>
      <c r="W111" s="32">
        <v>45818</v>
      </c>
      <c r="X111" s="32">
        <v>46200</v>
      </c>
      <c r="Y111" s="32" t="s">
        <v>404</v>
      </c>
      <c r="Z111" s="11">
        <v>0</v>
      </c>
      <c r="AA111" s="11"/>
      <c r="AB111" s="11"/>
      <c r="AC111" s="11"/>
      <c r="AD111" s="46"/>
      <c r="AE111" s="11"/>
      <c r="AF111" s="11"/>
      <c r="AG111" s="11"/>
      <c r="AH111" s="11"/>
      <c r="AI111" s="11"/>
      <c r="AJ111" s="11"/>
      <c r="AK111" s="11">
        <v>0</v>
      </c>
      <c r="AL111" s="11"/>
      <c r="AM111" s="11"/>
      <c r="AN111" s="11"/>
      <c r="AO111" s="46"/>
      <c r="AP111" s="11"/>
      <c r="AQ111" s="11"/>
      <c r="AR111" s="11"/>
      <c r="AS111" s="11"/>
      <c r="AT111" s="11"/>
      <c r="AU111" s="11"/>
      <c r="AV111" s="11">
        <v>0</v>
      </c>
      <c r="AW111" s="11"/>
      <c r="AX111" s="11"/>
      <c r="AY111" s="11"/>
      <c r="AZ111" s="46"/>
      <c r="BA111" s="11"/>
      <c r="BB111" s="11"/>
      <c r="BC111" s="11"/>
      <c r="BD111" s="11"/>
      <c r="BE111" s="11"/>
      <c r="BF111" s="11"/>
      <c r="BG111" s="11">
        <v>0</v>
      </c>
      <c r="BH111" s="11"/>
      <c r="BI111" s="11"/>
      <c r="BJ111" s="11"/>
      <c r="BK111" s="46"/>
      <c r="BL111" s="46"/>
      <c r="BM111" s="46"/>
      <c r="BN111" s="46"/>
      <c r="BO111" s="46"/>
      <c r="BP111" s="46"/>
      <c r="BQ111" s="46"/>
      <c r="BR111" s="46">
        <v>0</v>
      </c>
      <c r="BS111" s="46"/>
      <c r="BT111" s="46"/>
      <c r="BU111" s="46"/>
      <c r="BV111" s="46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>
        <v>0</v>
      </c>
      <c r="CJ111" s="11"/>
      <c r="CK111" s="11"/>
      <c r="CL111" s="11"/>
      <c r="CM111" s="11"/>
      <c r="CN111" s="11"/>
      <c r="CO111" s="4">
        <v>1</v>
      </c>
      <c r="CP111" s="4" t="s">
        <v>598</v>
      </c>
      <c r="CQ111" s="39">
        <v>45818</v>
      </c>
      <c r="CR111" s="39">
        <v>45818</v>
      </c>
      <c r="CS111" s="32">
        <v>46200</v>
      </c>
      <c r="CT111" s="32" t="s">
        <v>404</v>
      </c>
      <c r="CU111" s="4">
        <v>1</v>
      </c>
      <c r="CV111" s="4" t="s">
        <v>605</v>
      </c>
      <c r="CW111" s="39">
        <v>45792</v>
      </c>
      <c r="CX111" s="39">
        <v>45792</v>
      </c>
      <c r="CY111" s="33">
        <v>45658</v>
      </c>
      <c r="CZ111" s="34">
        <v>46388</v>
      </c>
      <c r="DA111" s="31" t="s">
        <v>166</v>
      </c>
      <c r="DB111" s="31" t="s">
        <v>167</v>
      </c>
      <c r="DC111" s="32">
        <v>46200</v>
      </c>
      <c r="DD111" s="32" t="s">
        <v>404</v>
      </c>
      <c r="DE111" s="11">
        <v>0</v>
      </c>
      <c r="DF111" s="11"/>
      <c r="DG111" s="43"/>
      <c r="DH111" s="11"/>
      <c r="DI111" s="11"/>
      <c r="DJ111" s="11"/>
      <c r="DK111" s="11">
        <v>0</v>
      </c>
      <c r="DL111" s="11"/>
      <c r="DM111" s="11"/>
      <c r="DN111" s="11"/>
      <c r="DO111" s="11"/>
      <c r="DP111" s="11"/>
      <c r="DQ111" s="31">
        <v>1</v>
      </c>
      <c r="DR111" s="31" t="s">
        <v>619</v>
      </c>
      <c r="DS111" s="43">
        <v>45731</v>
      </c>
      <c r="DT111" s="32">
        <f t="shared" si="30"/>
        <v>45731</v>
      </c>
      <c r="DU111" s="32">
        <v>46051</v>
      </c>
      <c r="DV111" s="32" t="s">
        <v>404</v>
      </c>
      <c r="DW111" s="4">
        <v>1</v>
      </c>
      <c r="DX111" s="4" t="s">
        <v>625</v>
      </c>
      <c r="DY111" s="43">
        <v>45773</v>
      </c>
      <c r="DZ111" s="32">
        <f t="shared" si="50"/>
        <v>45773</v>
      </c>
      <c r="EA111" s="32">
        <v>46051</v>
      </c>
      <c r="EB111" s="32" t="s">
        <v>404</v>
      </c>
      <c r="EC111" s="11">
        <v>0</v>
      </c>
      <c r="ED111" s="11"/>
      <c r="EE111" s="11"/>
      <c r="EF111" s="11">
        <v>0</v>
      </c>
      <c r="EG111" s="11"/>
      <c r="EH111" s="11"/>
      <c r="EI111" s="11"/>
      <c r="EJ111" s="26"/>
      <c r="EK111" s="26"/>
      <c r="EL111" s="26"/>
    </row>
    <row r="112" spans="1:142" hidden="1">
      <c r="A112" s="11">
        <v>109</v>
      </c>
      <c r="B112" s="118">
        <v>11411</v>
      </c>
      <c r="C112" s="47" t="s">
        <v>132</v>
      </c>
      <c r="D112">
        <v>1313438562</v>
      </c>
      <c r="E112" s="48" t="s">
        <v>45</v>
      </c>
      <c r="F112" s="26" t="s">
        <v>171</v>
      </c>
      <c r="G112" s="48" t="s">
        <v>125</v>
      </c>
      <c r="H112" s="48">
        <v>1</v>
      </c>
      <c r="I112" s="10" t="s">
        <v>546</v>
      </c>
      <c r="J112" s="49">
        <v>45828</v>
      </c>
      <c r="K112" s="49">
        <v>45828</v>
      </c>
      <c r="L112" s="32">
        <v>46200</v>
      </c>
      <c r="M112" s="32" t="s">
        <v>404</v>
      </c>
      <c r="N112" s="48">
        <v>1</v>
      </c>
      <c r="O112" s="10" t="s">
        <v>557</v>
      </c>
      <c r="P112" s="32">
        <f t="shared" si="28"/>
        <v>45925</v>
      </c>
      <c r="Q112" s="50">
        <v>45925</v>
      </c>
      <c r="R112" s="32">
        <v>46200</v>
      </c>
      <c r="S112" s="32" t="s">
        <v>404</v>
      </c>
      <c r="T112" s="48">
        <v>1</v>
      </c>
      <c r="U112" s="10" t="s">
        <v>569</v>
      </c>
      <c r="V112" s="32">
        <v>45818</v>
      </c>
      <c r="W112" s="32">
        <v>45818</v>
      </c>
      <c r="X112" s="32">
        <v>46200</v>
      </c>
      <c r="Y112" s="32" t="s">
        <v>404</v>
      </c>
      <c r="Z112" s="51">
        <v>0</v>
      </c>
      <c r="AA112" s="51"/>
      <c r="AB112" s="51"/>
      <c r="AC112" s="51"/>
      <c r="AD112" s="52"/>
      <c r="AE112" s="51"/>
      <c r="AF112" s="51"/>
      <c r="AG112" s="51"/>
      <c r="AH112" s="51"/>
      <c r="AI112" s="51"/>
      <c r="AJ112" s="51"/>
      <c r="AK112" s="51">
        <v>0</v>
      </c>
      <c r="AL112" s="51"/>
      <c r="AM112" s="51"/>
      <c r="AN112" s="51"/>
      <c r="AO112" s="52"/>
      <c r="AP112" s="51"/>
      <c r="AQ112" s="51"/>
      <c r="AR112" s="51"/>
      <c r="AS112" s="51"/>
      <c r="AT112" s="51"/>
      <c r="AU112" s="51"/>
      <c r="AV112" s="51">
        <v>0</v>
      </c>
      <c r="AW112" s="51"/>
      <c r="AX112" s="51"/>
      <c r="AY112" s="51"/>
      <c r="AZ112" s="52"/>
      <c r="BA112" s="51"/>
      <c r="BB112" s="51"/>
      <c r="BC112" s="51"/>
      <c r="BD112" s="51"/>
      <c r="BE112" s="51"/>
      <c r="BF112" s="51"/>
      <c r="BG112" s="51">
        <v>0</v>
      </c>
      <c r="BH112" s="51"/>
      <c r="BI112" s="51"/>
      <c r="BJ112" s="51"/>
      <c r="BK112" s="52"/>
      <c r="BL112" s="52"/>
      <c r="BM112" s="52"/>
      <c r="BN112" s="52"/>
      <c r="BO112" s="52"/>
      <c r="BP112" s="52"/>
      <c r="BQ112" s="52"/>
      <c r="BR112" s="52">
        <v>0</v>
      </c>
      <c r="BS112" s="52"/>
      <c r="BT112" s="52"/>
      <c r="BU112" s="52"/>
      <c r="BV112" s="52"/>
      <c r="BW112" s="51"/>
      <c r="BX112" s="51"/>
      <c r="BY112" s="51"/>
      <c r="BZ112" s="51"/>
      <c r="CA112" s="51"/>
      <c r="CB112" s="51"/>
      <c r="CC112" s="51"/>
      <c r="CD112" s="51"/>
      <c r="CE112" s="51"/>
      <c r="CF112" s="51"/>
      <c r="CG112" s="51"/>
      <c r="CH112" s="51"/>
      <c r="CI112" s="53">
        <v>0</v>
      </c>
      <c r="CJ112" s="53"/>
      <c r="CK112" s="53"/>
      <c r="CL112" s="53"/>
      <c r="CM112" s="53"/>
      <c r="CN112" s="53"/>
      <c r="CO112" s="53">
        <v>1</v>
      </c>
      <c r="CP112" s="4" t="s">
        <v>599</v>
      </c>
      <c r="CQ112" s="39">
        <v>45818</v>
      </c>
      <c r="CR112" s="39">
        <v>45818</v>
      </c>
      <c r="CS112" s="32">
        <v>46200</v>
      </c>
      <c r="CT112" s="32" t="s">
        <v>404</v>
      </c>
      <c r="CU112" s="53">
        <v>0</v>
      </c>
      <c r="CV112" s="53"/>
      <c r="CW112" s="39"/>
      <c r="CX112" s="39"/>
      <c r="CY112" s="33"/>
      <c r="CZ112" s="34"/>
      <c r="DA112" s="31"/>
      <c r="DB112" s="31"/>
      <c r="DC112" s="69"/>
      <c r="DD112" s="69"/>
      <c r="DE112" s="51">
        <v>0</v>
      </c>
      <c r="DF112" s="51"/>
      <c r="DG112" s="51"/>
      <c r="DH112" s="51"/>
      <c r="DI112" s="51"/>
      <c r="DJ112" s="51"/>
      <c r="DK112" s="51">
        <v>0</v>
      </c>
      <c r="DL112" s="51"/>
      <c r="DM112" s="51"/>
      <c r="DN112" s="51"/>
      <c r="DO112" s="51"/>
      <c r="DP112" s="51"/>
      <c r="DQ112" s="31">
        <v>1</v>
      </c>
      <c r="DR112" s="31" t="s">
        <v>620</v>
      </c>
      <c r="DS112" s="43">
        <v>45731</v>
      </c>
      <c r="DT112" s="32">
        <f t="shared" si="30"/>
        <v>45731</v>
      </c>
      <c r="DU112" s="32">
        <v>46051</v>
      </c>
      <c r="DV112" s="32" t="s">
        <v>404</v>
      </c>
      <c r="DW112" s="53">
        <v>0</v>
      </c>
      <c r="DX112" s="53"/>
      <c r="DY112" s="53"/>
      <c r="DZ112" s="53"/>
      <c r="EA112" s="53"/>
      <c r="EB112" s="53"/>
      <c r="EC112" s="51">
        <v>0</v>
      </c>
      <c r="ED112" s="51"/>
      <c r="EE112" s="51"/>
      <c r="EF112" s="51">
        <v>0</v>
      </c>
      <c r="EG112" s="51"/>
      <c r="EH112" s="51"/>
      <c r="EI112" s="51"/>
      <c r="EJ112" s="26"/>
      <c r="EK112" s="26"/>
      <c r="EL112" s="26"/>
    </row>
    <row r="113" spans="1:142" hidden="1">
      <c r="A113" s="11">
        <v>110</v>
      </c>
      <c r="B113" s="115">
        <v>8378</v>
      </c>
      <c r="C113" s="128" t="s">
        <v>134</v>
      </c>
      <c r="D113" s="57">
        <v>1313088403</v>
      </c>
      <c r="E113" s="10" t="s">
        <v>30</v>
      </c>
      <c r="F113" s="26" t="s">
        <v>214</v>
      </c>
      <c r="G113" s="15" t="s">
        <v>403</v>
      </c>
      <c r="H113" s="10">
        <v>1</v>
      </c>
      <c r="I113" s="10" t="s">
        <v>710</v>
      </c>
      <c r="J113" s="49">
        <v>45466</v>
      </c>
      <c r="K113" s="49">
        <v>45466</v>
      </c>
      <c r="L113" s="32">
        <v>46233</v>
      </c>
      <c r="M113" s="49" t="s">
        <v>404</v>
      </c>
      <c r="N113" s="15">
        <v>1</v>
      </c>
      <c r="O113" s="15" t="s">
        <v>719</v>
      </c>
      <c r="P113" s="32">
        <f t="shared" si="28"/>
        <v>45573</v>
      </c>
      <c r="Q113" s="43">
        <v>45573</v>
      </c>
      <c r="R113" s="32">
        <v>46233</v>
      </c>
      <c r="S113" s="49" t="s">
        <v>404</v>
      </c>
      <c r="T113" s="10">
        <v>1</v>
      </c>
      <c r="U113" s="10" t="s">
        <v>727</v>
      </c>
      <c r="V113" s="32">
        <v>45818</v>
      </c>
      <c r="W113" s="32">
        <v>45818</v>
      </c>
      <c r="X113" s="32">
        <v>46233</v>
      </c>
      <c r="Y113" s="32" t="s">
        <v>405</v>
      </c>
      <c r="Z113" s="10">
        <v>1</v>
      </c>
      <c r="AA113" s="10" t="s">
        <v>736</v>
      </c>
      <c r="AB113" s="32">
        <f t="shared" ref="AB113" si="51">AC113</f>
        <v>45161</v>
      </c>
      <c r="AC113" s="32">
        <v>45161</v>
      </c>
      <c r="AD113" s="10" t="s">
        <v>213</v>
      </c>
      <c r="AE113" s="34">
        <v>44887</v>
      </c>
      <c r="AF113" s="34">
        <f>DATE(YEAR(AE113)+5,MONTH(AE113),DAY(AE113))</f>
        <v>46713</v>
      </c>
      <c r="AG113" s="36"/>
      <c r="AH113" s="36" t="s">
        <v>161</v>
      </c>
      <c r="AI113" s="32">
        <v>46233</v>
      </c>
      <c r="AJ113" s="49" t="s">
        <v>404</v>
      </c>
      <c r="AK113" s="10">
        <v>1</v>
      </c>
      <c r="AL113" s="10" t="s">
        <v>738</v>
      </c>
      <c r="AM113" s="32">
        <v>45161</v>
      </c>
      <c r="AN113" s="32">
        <v>45161</v>
      </c>
      <c r="AO113" s="10">
        <v>103</v>
      </c>
      <c r="AP113" s="22">
        <v>45292</v>
      </c>
      <c r="AQ113" s="22">
        <v>47119</v>
      </c>
      <c r="AR113" s="34" t="s">
        <v>202</v>
      </c>
      <c r="AS113" s="34"/>
      <c r="AT113" s="32">
        <v>46233</v>
      </c>
      <c r="AU113" s="49" t="s">
        <v>404</v>
      </c>
      <c r="AV113" s="10">
        <v>1</v>
      </c>
      <c r="AW113" s="10" t="s">
        <v>740</v>
      </c>
      <c r="AX113" s="39">
        <v>45328</v>
      </c>
      <c r="AY113" s="39">
        <v>45328</v>
      </c>
      <c r="AZ113" s="10"/>
      <c r="BA113" s="34"/>
      <c r="BB113" s="34"/>
      <c r="BC113" s="22" t="s">
        <v>202</v>
      </c>
      <c r="BD113" s="34"/>
      <c r="BE113" s="32">
        <v>46233</v>
      </c>
      <c r="BF113" s="49" t="s">
        <v>404</v>
      </c>
      <c r="BG113" s="10">
        <v>1</v>
      </c>
      <c r="BH113" s="10" t="s">
        <v>742</v>
      </c>
      <c r="BI113" s="39">
        <v>45328</v>
      </c>
      <c r="BJ113" s="39">
        <v>45328</v>
      </c>
      <c r="BK113" s="10"/>
      <c r="BL113" s="34"/>
      <c r="BM113" s="34"/>
      <c r="BN113" s="34" t="s">
        <v>202</v>
      </c>
      <c r="BO113" s="34"/>
      <c r="BP113" s="32">
        <v>46233</v>
      </c>
      <c r="BQ113" s="49" t="s">
        <v>404</v>
      </c>
      <c r="BR113" s="10">
        <v>1</v>
      </c>
      <c r="BS113" s="10" t="s">
        <v>744</v>
      </c>
      <c r="BT113" s="39">
        <v>45328</v>
      </c>
      <c r="BU113" s="39">
        <v>45328</v>
      </c>
      <c r="BV113" s="10"/>
      <c r="BW113" s="35"/>
      <c r="BX113" s="34"/>
      <c r="BY113" s="34" t="s">
        <v>202</v>
      </c>
      <c r="BZ113" s="35"/>
      <c r="CA113" s="32">
        <v>46233</v>
      </c>
      <c r="CB113" s="49" t="s">
        <v>404</v>
      </c>
      <c r="CC113" s="35"/>
      <c r="CD113" s="35"/>
      <c r="CE113" s="35"/>
      <c r="CF113" s="35"/>
      <c r="CG113" s="35"/>
      <c r="CH113" s="35"/>
      <c r="CI113" s="31">
        <v>1</v>
      </c>
      <c r="CJ113" s="31" t="s">
        <v>746</v>
      </c>
      <c r="CK113" s="32">
        <v>45577</v>
      </c>
      <c r="CL113" s="32">
        <v>45577</v>
      </c>
      <c r="CM113" s="32">
        <v>46233</v>
      </c>
      <c r="CN113" s="49" t="s">
        <v>404</v>
      </c>
      <c r="CO113" s="31">
        <v>1</v>
      </c>
      <c r="CP113" s="31" t="s">
        <v>748</v>
      </c>
      <c r="CQ113" s="39">
        <v>45792</v>
      </c>
      <c r="CR113" s="39">
        <v>45792</v>
      </c>
      <c r="CS113" s="32">
        <v>46233</v>
      </c>
      <c r="CT113" s="49" t="s">
        <v>404</v>
      </c>
      <c r="CU113" s="31">
        <v>1</v>
      </c>
      <c r="CV113" s="31" t="s">
        <v>757</v>
      </c>
      <c r="CW113" s="39">
        <v>45792</v>
      </c>
      <c r="CX113" s="39">
        <v>45792</v>
      </c>
      <c r="CY113" s="33">
        <v>45658</v>
      </c>
      <c r="CZ113" s="34">
        <v>46388</v>
      </c>
      <c r="DA113" s="31" t="s">
        <v>166</v>
      </c>
      <c r="DB113" s="31" t="s">
        <v>167</v>
      </c>
      <c r="DC113" s="32">
        <v>46233</v>
      </c>
      <c r="DD113" s="49" t="s">
        <v>404</v>
      </c>
      <c r="DE113" s="10">
        <v>1</v>
      </c>
      <c r="DF113" s="10" t="s">
        <v>766</v>
      </c>
      <c r="DG113" s="43">
        <v>45576</v>
      </c>
      <c r="DH113" s="32">
        <f t="shared" ref="DH113:DH114" si="52">DG113</f>
        <v>45576</v>
      </c>
      <c r="DI113" s="32">
        <v>46233</v>
      </c>
      <c r="DJ113" s="49" t="s">
        <v>404</v>
      </c>
      <c r="DK113" s="11">
        <v>0</v>
      </c>
      <c r="DL113" s="11"/>
      <c r="DM113" s="11"/>
      <c r="DN113" s="11"/>
      <c r="DO113" s="46"/>
      <c r="DP113" s="46"/>
      <c r="DQ113" s="31">
        <v>0</v>
      </c>
      <c r="DR113" s="31"/>
      <c r="DS113" s="43"/>
      <c r="DT113" s="32"/>
      <c r="DU113" s="32"/>
      <c r="DV113" s="32"/>
      <c r="DW113" s="31">
        <v>0</v>
      </c>
      <c r="DX113" s="31"/>
      <c r="DY113" s="31"/>
      <c r="DZ113" s="31"/>
      <c r="EA113" s="31"/>
      <c r="EB113" s="31"/>
      <c r="EC113" s="11">
        <v>0</v>
      </c>
      <c r="ED113" s="11"/>
      <c r="EE113" s="11"/>
      <c r="EF113" s="11">
        <v>0</v>
      </c>
      <c r="EG113" s="11"/>
      <c r="EH113" s="11"/>
      <c r="EI113" s="11"/>
      <c r="EJ113" s="26"/>
      <c r="EK113" s="26"/>
      <c r="EL113" s="26"/>
    </row>
    <row r="114" spans="1:142" hidden="1">
      <c r="A114" s="11">
        <v>111</v>
      </c>
      <c r="B114" s="115">
        <v>8777</v>
      </c>
      <c r="C114" s="14" t="s">
        <v>135</v>
      </c>
      <c r="D114" s="20">
        <v>1313088532</v>
      </c>
      <c r="E114" s="12" t="s">
        <v>41</v>
      </c>
      <c r="F114" s="26" t="s">
        <v>171</v>
      </c>
      <c r="G114" s="15" t="s">
        <v>403</v>
      </c>
      <c r="H114" s="10">
        <v>1</v>
      </c>
      <c r="I114" s="10" t="s">
        <v>711</v>
      </c>
      <c r="J114" s="49">
        <v>45466</v>
      </c>
      <c r="K114" s="49">
        <v>45466</v>
      </c>
      <c r="L114" s="32">
        <v>46200</v>
      </c>
      <c r="M114" s="49" t="s">
        <v>404</v>
      </c>
      <c r="N114" s="15">
        <v>1</v>
      </c>
      <c r="O114" s="15" t="s">
        <v>720</v>
      </c>
      <c r="P114" s="32">
        <f t="shared" si="28"/>
        <v>45925</v>
      </c>
      <c r="Q114" s="50">
        <v>45925</v>
      </c>
      <c r="R114" s="32">
        <v>46200</v>
      </c>
      <c r="S114" s="49" t="s">
        <v>404</v>
      </c>
      <c r="T114" s="15">
        <v>1</v>
      </c>
      <c r="U114" s="10" t="s">
        <v>728</v>
      </c>
      <c r="V114" s="32">
        <v>45818</v>
      </c>
      <c r="W114" s="32">
        <v>45818</v>
      </c>
      <c r="X114" s="32">
        <v>46200</v>
      </c>
      <c r="Y114" s="32" t="s">
        <v>405</v>
      </c>
      <c r="Z114" s="11">
        <v>0</v>
      </c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>
        <v>0</v>
      </c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>
        <v>0</v>
      </c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>
        <v>0</v>
      </c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>
        <v>0</v>
      </c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>
        <v>0</v>
      </c>
      <c r="CJ114" s="11"/>
      <c r="CK114" s="11"/>
      <c r="CL114" s="11"/>
      <c r="CM114" s="11"/>
      <c r="CN114" s="11"/>
      <c r="CO114" s="11">
        <v>1</v>
      </c>
      <c r="CP114" s="31" t="s">
        <v>749</v>
      </c>
      <c r="CQ114" s="39">
        <v>45792</v>
      </c>
      <c r="CR114" s="39">
        <v>45792</v>
      </c>
      <c r="CS114" s="32">
        <v>46200</v>
      </c>
      <c r="CT114" s="49" t="s">
        <v>404</v>
      </c>
      <c r="CU114" s="10">
        <v>1</v>
      </c>
      <c r="CV114" s="31" t="s">
        <v>758</v>
      </c>
      <c r="CW114" s="39">
        <v>45792</v>
      </c>
      <c r="CX114" s="39">
        <v>45792</v>
      </c>
      <c r="CY114" s="33">
        <v>45658</v>
      </c>
      <c r="CZ114" s="34">
        <v>46388</v>
      </c>
      <c r="DA114" s="31" t="s">
        <v>166</v>
      </c>
      <c r="DB114" s="31" t="s">
        <v>167</v>
      </c>
      <c r="DC114" s="32">
        <v>46200</v>
      </c>
      <c r="DD114" s="49" t="s">
        <v>404</v>
      </c>
      <c r="DE114" s="10">
        <v>1</v>
      </c>
      <c r="DF114" s="10" t="s">
        <v>767</v>
      </c>
      <c r="DG114" s="43">
        <v>45576</v>
      </c>
      <c r="DH114" s="32">
        <f t="shared" si="52"/>
        <v>45576</v>
      </c>
      <c r="DI114" s="49">
        <v>46051</v>
      </c>
      <c r="DJ114" s="49" t="s">
        <v>404</v>
      </c>
      <c r="DK114" s="10">
        <v>1</v>
      </c>
      <c r="DL114" s="10" t="s">
        <v>769</v>
      </c>
      <c r="DM114" s="39">
        <f>DN114</f>
        <v>45576</v>
      </c>
      <c r="DN114" s="39">
        <v>45576</v>
      </c>
      <c r="DO114" s="39">
        <v>46200</v>
      </c>
      <c r="DP114" s="49" t="s">
        <v>404</v>
      </c>
      <c r="DQ114" s="31">
        <v>0</v>
      </c>
      <c r="DR114" s="31"/>
      <c r="DS114" s="43"/>
      <c r="DT114" s="32"/>
      <c r="DU114" s="32"/>
      <c r="DV114" s="32"/>
      <c r="DW114" s="4">
        <v>1</v>
      </c>
      <c r="DX114" s="4" t="s">
        <v>771</v>
      </c>
      <c r="DY114" s="43">
        <v>45575</v>
      </c>
      <c r="DZ114" s="32">
        <f>DY114</f>
        <v>45575</v>
      </c>
      <c r="EA114" s="49">
        <v>46200</v>
      </c>
      <c r="EB114" s="49" t="s">
        <v>404</v>
      </c>
      <c r="EC114" s="11">
        <v>0</v>
      </c>
      <c r="ED114" s="11"/>
      <c r="EE114" s="11"/>
      <c r="EF114" s="11">
        <v>0</v>
      </c>
      <c r="EG114" s="11"/>
      <c r="EH114" s="11"/>
      <c r="EI114" s="11"/>
      <c r="EJ114" s="26"/>
      <c r="EK114" s="26"/>
      <c r="EL114" s="26"/>
    </row>
    <row r="115" spans="1:142" hidden="1">
      <c r="A115" s="11">
        <v>112</v>
      </c>
      <c r="B115" s="115">
        <v>11835</v>
      </c>
      <c r="C115" s="14" t="s">
        <v>136</v>
      </c>
      <c r="D115" s="20">
        <v>1313088533</v>
      </c>
      <c r="E115" s="12" t="s">
        <v>26</v>
      </c>
      <c r="F115" s="26" t="s">
        <v>171</v>
      </c>
      <c r="G115" s="15" t="s">
        <v>403</v>
      </c>
      <c r="H115" s="10">
        <v>1</v>
      </c>
      <c r="I115" s="10" t="s">
        <v>712</v>
      </c>
      <c r="J115" s="49">
        <v>45466</v>
      </c>
      <c r="K115" s="49">
        <v>45466</v>
      </c>
      <c r="L115" s="32">
        <v>46200</v>
      </c>
      <c r="M115" s="49" t="s">
        <v>404</v>
      </c>
      <c r="N115" s="15">
        <v>1</v>
      </c>
      <c r="O115" s="15" t="s">
        <v>721</v>
      </c>
      <c r="P115" s="32">
        <f t="shared" si="28"/>
        <v>45925</v>
      </c>
      <c r="Q115" s="50">
        <v>45925</v>
      </c>
      <c r="R115" s="32">
        <v>46200</v>
      </c>
      <c r="S115" s="49" t="s">
        <v>404</v>
      </c>
      <c r="T115" s="10">
        <v>1</v>
      </c>
      <c r="U115" s="10" t="s">
        <v>729</v>
      </c>
      <c r="V115" s="32">
        <v>45818</v>
      </c>
      <c r="W115" s="32">
        <v>45818</v>
      </c>
      <c r="X115" s="32">
        <v>46200</v>
      </c>
      <c r="Y115" s="49" t="s">
        <v>404</v>
      </c>
      <c r="Z115" s="11">
        <v>0</v>
      </c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>
        <v>0</v>
      </c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>
        <v>0</v>
      </c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>
        <v>0</v>
      </c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>
        <v>0</v>
      </c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4">
        <v>0</v>
      </c>
      <c r="CJ115" s="4"/>
      <c r="CK115" s="4"/>
      <c r="CL115" s="4"/>
      <c r="CM115" s="4"/>
      <c r="CN115" s="4"/>
      <c r="CO115" s="4">
        <v>1</v>
      </c>
      <c r="CP115" s="31" t="s">
        <v>750</v>
      </c>
      <c r="CQ115" s="39">
        <v>45792</v>
      </c>
      <c r="CR115" s="39">
        <v>45792</v>
      </c>
      <c r="CS115" s="32">
        <v>46200</v>
      </c>
      <c r="CT115" s="49" t="s">
        <v>404</v>
      </c>
      <c r="CU115" s="4">
        <v>1</v>
      </c>
      <c r="CV115" s="31" t="s">
        <v>759</v>
      </c>
      <c r="CW115" s="39">
        <v>45792</v>
      </c>
      <c r="CX115" s="39">
        <v>45792</v>
      </c>
      <c r="CY115" s="33">
        <v>45658</v>
      </c>
      <c r="CZ115" s="34">
        <v>46388</v>
      </c>
      <c r="DA115" s="31" t="s">
        <v>166</v>
      </c>
      <c r="DB115" s="31" t="s">
        <v>167</v>
      </c>
      <c r="DC115" s="32">
        <v>46200</v>
      </c>
      <c r="DD115" s="49" t="s">
        <v>404</v>
      </c>
      <c r="DE115" s="11">
        <v>0</v>
      </c>
      <c r="DF115" s="11"/>
      <c r="DG115" s="11"/>
      <c r="DH115" s="11"/>
      <c r="DI115" s="46"/>
      <c r="DJ115" s="46"/>
      <c r="DK115" s="11">
        <v>0</v>
      </c>
      <c r="DL115" s="11"/>
      <c r="DM115" s="11"/>
      <c r="DN115" s="11"/>
      <c r="DO115" s="46"/>
      <c r="DP115" s="46"/>
      <c r="DQ115" s="31">
        <v>0</v>
      </c>
      <c r="DR115" s="31"/>
      <c r="DS115" s="43"/>
      <c r="DT115" s="32"/>
      <c r="DU115" s="32"/>
      <c r="DV115" s="32"/>
      <c r="DW115" s="4">
        <v>0</v>
      </c>
      <c r="DX115" s="4"/>
      <c r="DY115" s="4"/>
      <c r="DZ115" s="4"/>
      <c r="EA115" s="4"/>
      <c r="EB115" s="4"/>
      <c r="EC115" s="11">
        <v>0</v>
      </c>
      <c r="ED115" s="11"/>
      <c r="EE115" s="11"/>
      <c r="EF115" s="11">
        <v>0</v>
      </c>
      <c r="EG115" s="11"/>
      <c r="EH115" s="11"/>
      <c r="EI115" s="11"/>
      <c r="EJ115" s="26"/>
      <c r="EK115" s="26"/>
      <c r="EL115" s="26"/>
    </row>
    <row r="116" spans="1:142" hidden="1">
      <c r="A116" s="11">
        <v>113</v>
      </c>
      <c r="B116" s="115">
        <v>10312</v>
      </c>
      <c r="C116" s="14" t="s">
        <v>137</v>
      </c>
      <c r="D116" s="20">
        <v>1313088433</v>
      </c>
      <c r="E116" s="12" t="s">
        <v>45</v>
      </c>
      <c r="F116" s="26" t="s">
        <v>171</v>
      </c>
      <c r="G116" s="15" t="s">
        <v>403</v>
      </c>
      <c r="H116" s="4">
        <v>1</v>
      </c>
      <c r="I116" s="10" t="s">
        <v>713</v>
      </c>
      <c r="J116" s="49">
        <v>45466</v>
      </c>
      <c r="K116" s="49">
        <v>45466</v>
      </c>
      <c r="L116" s="32">
        <v>46200</v>
      </c>
      <c r="M116" s="49" t="s">
        <v>404</v>
      </c>
      <c r="N116" s="15">
        <v>1</v>
      </c>
      <c r="O116" s="15" t="s">
        <v>722</v>
      </c>
      <c r="P116" s="32">
        <f t="shared" si="28"/>
        <v>45925</v>
      </c>
      <c r="Q116" s="50">
        <v>45925</v>
      </c>
      <c r="R116" s="32">
        <v>46200</v>
      </c>
      <c r="S116" s="49" t="s">
        <v>404</v>
      </c>
      <c r="T116" s="4">
        <v>1</v>
      </c>
      <c r="U116" s="10" t="s">
        <v>730</v>
      </c>
      <c r="V116" s="32">
        <v>45818</v>
      </c>
      <c r="W116" s="32">
        <v>45818</v>
      </c>
      <c r="X116" s="32">
        <v>46200</v>
      </c>
      <c r="Y116" s="49" t="s">
        <v>404</v>
      </c>
      <c r="Z116" s="11">
        <v>0</v>
      </c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>
        <v>0</v>
      </c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>
        <v>0</v>
      </c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>
        <v>0</v>
      </c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>
        <v>0</v>
      </c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>
        <v>0</v>
      </c>
      <c r="CJ116" s="11"/>
      <c r="CK116" s="11"/>
      <c r="CL116" s="11"/>
      <c r="CM116" s="11"/>
      <c r="CN116" s="11"/>
      <c r="CO116" s="4">
        <v>1</v>
      </c>
      <c r="CP116" s="31" t="s">
        <v>751</v>
      </c>
      <c r="CQ116" s="39">
        <v>45792</v>
      </c>
      <c r="CR116" s="39">
        <v>45792</v>
      </c>
      <c r="CS116" s="32">
        <v>46200</v>
      </c>
      <c r="CT116" s="49" t="s">
        <v>404</v>
      </c>
      <c r="CU116" s="4">
        <v>1</v>
      </c>
      <c r="CV116" s="31" t="s">
        <v>760</v>
      </c>
      <c r="CW116" s="39">
        <v>45792</v>
      </c>
      <c r="CX116" s="39">
        <v>45792</v>
      </c>
      <c r="CY116" s="33">
        <v>45658</v>
      </c>
      <c r="CZ116" s="34">
        <v>46388</v>
      </c>
      <c r="DA116" s="31" t="s">
        <v>166</v>
      </c>
      <c r="DB116" s="31" t="s">
        <v>167</v>
      </c>
      <c r="DC116" s="32">
        <v>46200</v>
      </c>
      <c r="DD116" s="49" t="s">
        <v>404</v>
      </c>
      <c r="DE116" s="11">
        <v>0</v>
      </c>
      <c r="DF116" s="11"/>
      <c r="DG116" s="11"/>
      <c r="DH116" s="11"/>
      <c r="DI116" s="46"/>
      <c r="DJ116" s="46"/>
      <c r="DK116" s="11">
        <v>0</v>
      </c>
      <c r="DL116" s="11"/>
      <c r="DM116" s="11"/>
      <c r="DN116" s="11"/>
      <c r="DO116" s="46"/>
      <c r="DP116" s="46"/>
      <c r="DQ116" s="31">
        <v>0</v>
      </c>
      <c r="DR116" s="31"/>
      <c r="DS116" s="43"/>
      <c r="DT116" s="32"/>
      <c r="DU116" s="32"/>
      <c r="DV116" s="32"/>
      <c r="DW116" s="4">
        <v>1</v>
      </c>
      <c r="DX116" s="4" t="s">
        <v>772</v>
      </c>
      <c r="DY116" s="43">
        <v>45575</v>
      </c>
      <c r="DZ116" s="32">
        <f t="shared" ref="DZ116:DZ117" si="53">DY116</f>
        <v>45575</v>
      </c>
      <c r="EA116" s="49">
        <v>46051</v>
      </c>
      <c r="EB116" s="49" t="s">
        <v>404</v>
      </c>
      <c r="EC116" s="11">
        <v>0</v>
      </c>
      <c r="ED116" s="11"/>
      <c r="EE116" s="11"/>
      <c r="EF116" s="11">
        <v>0</v>
      </c>
      <c r="EG116" s="11"/>
      <c r="EH116" s="11"/>
      <c r="EI116" s="11"/>
      <c r="EJ116" s="26"/>
      <c r="EK116" s="26"/>
      <c r="EL116" s="26"/>
    </row>
    <row r="117" spans="1:142" hidden="1">
      <c r="A117" s="11">
        <v>114</v>
      </c>
      <c r="B117" s="115">
        <v>11250</v>
      </c>
      <c r="C117" s="21" t="s">
        <v>105</v>
      </c>
      <c r="D117" s="20">
        <v>1313088353</v>
      </c>
      <c r="E117" s="18" t="s">
        <v>44</v>
      </c>
      <c r="F117" s="26" t="s">
        <v>171</v>
      </c>
      <c r="G117" s="15" t="s">
        <v>403</v>
      </c>
      <c r="H117" s="10">
        <v>1</v>
      </c>
      <c r="I117" s="10" t="s">
        <v>714</v>
      </c>
      <c r="J117" s="49">
        <v>45466</v>
      </c>
      <c r="K117" s="49">
        <v>45466</v>
      </c>
      <c r="L117" s="32">
        <v>46200</v>
      </c>
      <c r="M117" s="49" t="s">
        <v>404</v>
      </c>
      <c r="N117" s="15">
        <v>1</v>
      </c>
      <c r="O117" s="15" t="s">
        <v>723</v>
      </c>
      <c r="P117" s="32">
        <f t="shared" si="28"/>
        <v>45925</v>
      </c>
      <c r="Q117" s="50">
        <v>45925</v>
      </c>
      <c r="R117" s="32">
        <v>46200</v>
      </c>
      <c r="S117" s="49" t="s">
        <v>404</v>
      </c>
      <c r="T117" s="10">
        <v>1</v>
      </c>
      <c r="U117" s="10" t="s">
        <v>731</v>
      </c>
      <c r="V117" s="32">
        <v>45818</v>
      </c>
      <c r="W117" s="32">
        <v>45818</v>
      </c>
      <c r="X117" s="32">
        <v>46200</v>
      </c>
      <c r="Y117" s="49" t="s">
        <v>404</v>
      </c>
      <c r="Z117" s="11">
        <v>0</v>
      </c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>
        <v>0</v>
      </c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>
        <v>0</v>
      </c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>
        <v>0</v>
      </c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>
        <v>0</v>
      </c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>
        <v>0</v>
      </c>
      <c r="CJ117" s="11"/>
      <c r="CK117" s="11"/>
      <c r="CL117" s="11"/>
      <c r="CM117" s="11"/>
      <c r="CN117" s="11"/>
      <c r="CO117" s="4">
        <v>1</v>
      </c>
      <c r="CP117" s="31" t="s">
        <v>752</v>
      </c>
      <c r="CQ117" s="39">
        <v>45792</v>
      </c>
      <c r="CR117" s="39">
        <v>45792</v>
      </c>
      <c r="CS117" s="32">
        <v>46200</v>
      </c>
      <c r="CT117" s="49" t="s">
        <v>404</v>
      </c>
      <c r="CU117" s="11">
        <v>1</v>
      </c>
      <c r="CV117" s="31" t="s">
        <v>761</v>
      </c>
      <c r="CW117" s="39">
        <v>45792</v>
      </c>
      <c r="CX117" s="39">
        <v>45792</v>
      </c>
      <c r="CY117" s="33">
        <v>45658</v>
      </c>
      <c r="CZ117" s="34">
        <v>46388</v>
      </c>
      <c r="DA117" s="31" t="s">
        <v>166</v>
      </c>
      <c r="DB117" s="31" t="s">
        <v>167</v>
      </c>
      <c r="DC117" s="32">
        <v>46200</v>
      </c>
      <c r="DD117" s="49" t="s">
        <v>404</v>
      </c>
      <c r="DE117" s="11">
        <v>0</v>
      </c>
      <c r="DF117" s="11"/>
      <c r="DG117" s="11"/>
      <c r="DH117" s="11"/>
      <c r="DI117" s="46"/>
      <c r="DJ117" s="46"/>
      <c r="DK117" s="11">
        <v>0</v>
      </c>
      <c r="DL117" s="11"/>
      <c r="DM117" s="11"/>
      <c r="DN117" s="11"/>
      <c r="DO117" s="46"/>
      <c r="DP117" s="46"/>
      <c r="DQ117" s="31">
        <v>0</v>
      </c>
      <c r="DR117" s="31"/>
      <c r="DS117" s="43"/>
      <c r="DT117" s="32"/>
      <c r="DU117" s="32"/>
      <c r="DV117" s="32"/>
      <c r="DW117" s="4">
        <v>1</v>
      </c>
      <c r="DX117" s="4" t="s">
        <v>773</v>
      </c>
      <c r="DY117" s="43">
        <v>45575</v>
      </c>
      <c r="DZ117" s="32">
        <f t="shared" si="53"/>
        <v>45575</v>
      </c>
      <c r="EA117" s="49">
        <v>46051</v>
      </c>
      <c r="EB117" s="49" t="s">
        <v>404</v>
      </c>
      <c r="EC117" s="11">
        <v>0</v>
      </c>
      <c r="ED117" s="11"/>
      <c r="EE117" s="11"/>
      <c r="EF117" s="4">
        <v>1</v>
      </c>
      <c r="EG117" s="4" t="s">
        <v>757</v>
      </c>
      <c r="EH117" s="43">
        <v>45400</v>
      </c>
      <c r="EI117" s="43">
        <v>45400</v>
      </c>
      <c r="EJ117" s="49">
        <v>46051</v>
      </c>
      <c r="EK117" s="49" t="s">
        <v>404</v>
      </c>
      <c r="EL117" s="26"/>
    </row>
    <row r="118" spans="1:142" hidden="1">
      <c r="A118" s="11">
        <v>115</v>
      </c>
      <c r="B118" s="115">
        <v>11866</v>
      </c>
      <c r="C118" s="14" t="s">
        <v>233</v>
      </c>
      <c r="D118" s="12">
        <v>1313438534</v>
      </c>
      <c r="E118" s="12" t="s">
        <v>26</v>
      </c>
      <c r="F118" s="26" t="s">
        <v>171</v>
      </c>
      <c r="G118" s="15" t="s">
        <v>403</v>
      </c>
      <c r="H118" s="10">
        <v>1</v>
      </c>
      <c r="I118" s="10" t="s">
        <v>715</v>
      </c>
      <c r="J118" s="49">
        <v>45466</v>
      </c>
      <c r="K118" s="49">
        <v>45466</v>
      </c>
      <c r="L118" s="32">
        <v>46200</v>
      </c>
      <c r="M118" s="49" t="s">
        <v>404</v>
      </c>
      <c r="N118" s="15">
        <v>1</v>
      </c>
      <c r="O118" s="15"/>
      <c r="P118" s="32"/>
      <c r="Q118" s="50"/>
      <c r="R118" s="32">
        <v>46200</v>
      </c>
      <c r="S118" s="102"/>
      <c r="T118" s="10">
        <v>1</v>
      </c>
      <c r="U118" s="10" t="s">
        <v>732</v>
      </c>
      <c r="V118" s="32">
        <v>45818</v>
      </c>
      <c r="W118" s="32">
        <v>45818</v>
      </c>
      <c r="X118" s="32">
        <v>46200</v>
      </c>
      <c r="Y118" s="49" t="s">
        <v>404</v>
      </c>
      <c r="Z118" s="11">
        <v>0</v>
      </c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0">
        <v>0</v>
      </c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1">
        <v>0</v>
      </c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>
        <v>0</v>
      </c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>
        <v>0</v>
      </c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>
        <v>0</v>
      </c>
      <c r="CJ118" s="11"/>
      <c r="CK118" s="11"/>
      <c r="CL118" s="11"/>
      <c r="CM118" s="11"/>
      <c r="CN118" s="11"/>
      <c r="CO118" s="11">
        <v>1</v>
      </c>
      <c r="CP118" s="31" t="s">
        <v>753</v>
      </c>
      <c r="CQ118" s="39">
        <v>45792</v>
      </c>
      <c r="CR118" s="39">
        <v>45792</v>
      </c>
      <c r="CS118" s="32">
        <v>46200</v>
      </c>
      <c r="CT118" s="49" t="s">
        <v>404</v>
      </c>
      <c r="CU118" s="10">
        <v>1</v>
      </c>
      <c r="CV118" s="31" t="s">
        <v>762</v>
      </c>
      <c r="CW118" s="39">
        <v>45792</v>
      </c>
      <c r="CX118" s="39">
        <v>45792</v>
      </c>
      <c r="CY118" s="33">
        <v>45658</v>
      </c>
      <c r="CZ118" s="34">
        <v>46388</v>
      </c>
      <c r="DA118" s="31" t="s">
        <v>166</v>
      </c>
      <c r="DB118" s="31" t="s">
        <v>167</v>
      </c>
      <c r="DC118" s="32">
        <v>46200</v>
      </c>
      <c r="DD118" s="49" t="s">
        <v>404</v>
      </c>
      <c r="DE118" s="11">
        <v>0</v>
      </c>
      <c r="DF118" s="11"/>
      <c r="DG118" s="11"/>
      <c r="DH118" s="11"/>
      <c r="DI118" s="46"/>
      <c r="DJ118" s="46"/>
      <c r="DK118" s="11">
        <v>0</v>
      </c>
      <c r="DL118" s="11"/>
      <c r="DM118" s="11"/>
      <c r="DN118" s="11"/>
      <c r="DO118" s="46"/>
      <c r="DP118" s="46"/>
      <c r="DQ118" s="31">
        <v>0</v>
      </c>
      <c r="DR118" s="31"/>
      <c r="DS118" s="43"/>
      <c r="DT118" s="32"/>
      <c r="DU118" s="32"/>
      <c r="DV118" s="32"/>
      <c r="DW118" s="10">
        <v>0</v>
      </c>
      <c r="DX118" s="10"/>
      <c r="DY118" s="10"/>
      <c r="DZ118" s="10"/>
      <c r="EA118" s="10"/>
      <c r="EB118" s="10"/>
      <c r="EC118" s="11">
        <v>0</v>
      </c>
      <c r="ED118" s="11"/>
      <c r="EE118" s="11"/>
      <c r="EF118" s="11">
        <v>0</v>
      </c>
      <c r="EG118" s="11"/>
      <c r="EH118" s="11"/>
      <c r="EI118" s="11"/>
      <c r="EJ118" s="26"/>
      <c r="EK118" s="26"/>
      <c r="EL118" s="26"/>
    </row>
    <row r="119" spans="1:142" hidden="1">
      <c r="A119" s="11">
        <v>116</v>
      </c>
      <c r="B119" s="115">
        <v>10529</v>
      </c>
      <c r="C119" s="14" t="s">
        <v>138</v>
      </c>
      <c r="D119" s="12">
        <v>1313088530</v>
      </c>
      <c r="E119" s="12" t="s">
        <v>35</v>
      </c>
      <c r="F119" s="26" t="s">
        <v>171</v>
      </c>
      <c r="G119" s="15" t="s">
        <v>403</v>
      </c>
      <c r="H119" s="15">
        <v>1</v>
      </c>
      <c r="I119" s="10" t="s">
        <v>716</v>
      </c>
      <c r="J119" s="49">
        <v>45466</v>
      </c>
      <c r="K119" s="49">
        <v>45466</v>
      </c>
      <c r="L119" s="32">
        <v>46200</v>
      </c>
      <c r="M119" s="49" t="s">
        <v>404</v>
      </c>
      <c r="N119" s="15">
        <v>1</v>
      </c>
      <c r="O119" s="15" t="s">
        <v>724</v>
      </c>
      <c r="P119" s="32">
        <f t="shared" si="28"/>
        <v>45925</v>
      </c>
      <c r="Q119" s="50">
        <v>45925</v>
      </c>
      <c r="R119" s="32">
        <v>46200</v>
      </c>
      <c r="S119" s="49" t="s">
        <v>404</v>
      </c>
      <c r="T119" s="10">
        <v>1</v>
      </c>
      <c r="U119" s="10" t="s">
        <v>733</v>
      </c>
      <c r="V119" s="32">
        <v>45818</v>
      </c>
      <c r="W119" s="32">
        <v>45818</v>
      </c>
      <c r="X119" s="32">
        <v>46200</v>
      </c>
      <c r="Y119" s="49" t="s">
        <v>404</v>
      </c>
      <c r="Z119" s="11">
        <v>0</v>
      </c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>
        <v>0</v>
      </c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>
        <v>0</v>
      </c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>
        <v>0</v>
      </c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>
        <v>0</v>
      </c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>
        <v>0</v>
      </c>
      <c r="CJ119" s="11"/>
      <c r="CK119" s="11"/>
      <c r="CL119" s="11"/>
      <c r="CM119" s="11"/>
      <c r="CN119" s="11"/>
      <c r="CO119" s="4">
        <v>1</v>
      </c>
      <c r="CP119" s="31" t="s">
        <v>754</v>
      </c>
      <c r="CQ119" s="39">
        <v>45792</v>
      </c>
      <c r="CR119" s="39">
        <v>45792</v>
      </c>
      <c r="CS119" s="32">
        <v>46200</v>
      </c>
      <c r="CT119" s="49" t="s">
        <v>404</v>
      </c>
      <c r="CU119" s="11">
        <v>1</v>
      </c>
      <c r="CV119" s="31" t="s">
        <v>763</v>
      </c>
      <c r="CW119" s="39">
        <v>45792</v>
      </c>
      <c r="CX119" s="39">
        <v>45792</v>
      </c>
      <c r="CY119" s="33">
        <v>45658</v>
      </c>
      <c r="CZ119" s="34">
        <v>46388</v>
      </c>
      <c r="DA119" s="31" t="s">
        <v>166</v>
      </c>
      <c r="DB119" s="31" t="s">
        <v>167</v>
      </c>
      <c r="DC119" s="32">
        <v>46200</v>
      </c>
      <c r="DD119" s="49" t="s">
        <v>404</v>
      </c>
      <c r="DE119" s="10">
        <v>1</v>
      </c>
      <c r="DF119" s="10" t="s">
        <v>768</v>
      </c>
      <c r="DG119" s="43">
        <v>45576</v>
      </c>
      <c r="DH119" s="32">
        <f>DG119</f>
        <v>45576</v>
      </c>
      <c r="DI119" s="49">
        <v>46051</v>
      </c>
      <c r="DJ119" s="49" t="s">
        <v>404</v>
      </c>
      <c r="DK119" s="10">
        <v>1</v>
      </c>
      <c r="DL119" s="10" t="s">
        <v>770</v>
      </c>
      <c r="DM119" s="39">
        <f>DN119</f>
        <v>45576</v>
      </c>
      <c r="DN119" s="39">
        <v>45576</v>
      </c>
      <c r="DO119" s="39">
        <v>46200</v>
      </c>
      <c r="DP119" s="49" t="s">
        <v>404</v>
      </c>
      <c r="DQ119" s="31">
        <v>0</v>
      </c>
      <c r="DR119" s="31"/>
      <c r="DS119" s="43"/>
      <c r="DT119" s="32"/>
      <c r="DU119" s="32"/>
      <c r="DV119" s="32"/>
      <c r="DW119" s="11">
        <v>1</v>
      </c>
      <c r="DX119" s="4" t="s">
        <v>774</v>
      </c>
      <c r="DY119" s="43">
        <v>45575</v>
      </c>
      <c r="DZ119" s="32">
        <f>DY119</f>
        <v>45575</v>
      </c>
      <c r="EA119" s="49">
        <v>46200</v>
      </c>
      <c r="EB119" s="49" t="s">
        <v>404</v>
      </c>
      <c r="EC119" s="11">
        <v>0</v>
      </c>
      <c r="ED119" s="11"/>
      <c r="EE119" s="11"/>
      <c r="EF119" s="11">
        <v>0</v>
      </c>
      <c r="EG119" s="11"/>
      <c r="EH119" s="11"/>
      <c r="EI119" s="11"/>
      <c r="EJ119" s="26"/>
      <c r="EK119" s="26"/>
      <c r="EL119" s="26"/>
    </row>
    <row r="120" spans="1:142" ht="25.5" hidden="1">
      <c r="A120" s="11">
        <v>117</v>
      </c>
      <c r="B120" s="115">
        <v>11113</v>
      </c>
      <c r="C120" s="134" t="s">
        <v>139</v>
      </c>
      <c r="D120" s="15">
        <v>1313088160</v>
      </c>
      <c r="E120" s="15" t="s">
        <v>118</v>
      </c>
      <c r="F120" s="26" t="s">
        <v>214</v>
      </c>
      <c r="G120" s="15" t="s">
        <v>403</v>
      </c>
      <c r="H120" s="10">
        <v>1</v>
      </c>
      <c r="I120" s="10" t="s">
        <v>717</v>
      </c>
      <c r="J120" s="49">
        <v>45466</v>
      </c>
      <c r="K120" s="49">
        <v>45466</v>
      </c>
      <c r="L120" s="32">
        <v>46233</v>
      </c>
      <c r="M120" s="49" t="s">
        <v>404</v>
      </c>
      <c r="N120" s="15">
        <v>1</v>
      </c>
      <c r="O120" s="15" t="s">
        <v>725</v>
      </c>
      <c r="P120" s="32">
        <f t="shared" si="28"/>
        <v>45573</v>
      </c>
      <c r="Q120" s="43">
        <v>45573</v>
      </c>
      <c r="R120" s="32">
        <v>46233</v>
      </c>
      <c r="S120" s="49" t="s">
        <v>404</v>
      </c>
      <c r="T120" s="15">
        <v>1</v>
      </c>
      <c r="U120" s="10" t="s">
        <v>734</v>
      </c>
      <c r="V120" s="32">
        <v>45818</v>
      </c>
      <c r="W120" s="32">
        <v>45818</v>
      </c>
      <c r="X120" s="32">
        <v>46233</v>
      </c>
      <c r="Y120" s="32" t="s">
        <v>405</v>
      </c>
      <c r="Z120" s="10">
        <v>1</v>
      </c>
      <c r="AA120" s="10" t="s">
        <v>737</v>
      </c>
      <c r="AB120" s="32">
        <f t="shared" ref="AB120" si="54">AC120</f>
        <v>45161</v>
      </c>
      <c r="AC120" s="32">
        <v>45161</v>
      </c>
      <c r="AD120" s="10" t="s">
        <v>213</v>
      </c>
      <c r="AE120" s="34">
        <v>44887</v>
      </c>
      <c r="AF120" s="34">
        <f>DATE(YEAR(AE120)+5,MONTH(AE120),DAY(AE120))</f>
        <v>46713</v>
      </c>
      <c r="AG120" s="36"/>
      <c r="AH120" s="36" t="s">
        <v>161</v>
      </c>
      <c r="AI120" s="32">
        <v>46233</v>
      </c>
      <c r="AJ120" s="49" t="s">
        <v>404</v>
      </c>
      <c r="AK120" s="10">
        <v>1</v>
      </c>
      <c r="AL120" s="10" t="s">
        <v>739</v>
      </c>
      <c r="AM120" s="32">
        <v>45161</v>
      </c>
      <c r="AN120" s="32">
        <v>45161</v>
      </c>
      <c r="AO120" s="10" t="s">
        <v>213</v>
      </c>
      <c r="AP120" s="34">
        <v>44856</v>
      </c>
      <c r="AQ120" s="34">
        <v>46687</v>
      </c>
      <c r="AR120" s="34" t="s">
        <v>163</v>
      </c>
      <c r="AS120" s="34" t="s">
        <v>162</v>
      </c>
      <c r="AT120" s="32">
        <v>46233</v>
      </c>
      <c r="AU120" s="49" t="s">
        <v>404</v>
      </c>
      <c r="AV120" s="10">
        <v>1</v>
      </c>
      <c r="AW120" s="10" t="s">
        <v>741</v>
      </c>
      <c r="AX120" s="32">
        <v>45161</v>
      </c>
      <c r="AY120" s="32">
        <v>45161</v>
      </c>
      <c r="AZ120" s="10" t="s">
        <v>213</v>
      </c>
      <c r="BA120" s="34">
        <v>44703</v>
      </c>
      <c r="BB120" s="34">
        <v>46529</v>
      </c>
      <c r="BC120" s="34" t="s">
        <v>163</v>
      </c>
      <c r="BD120" s="34" t="s">
        <v>1210</v>
      </c>
      <c r="BE120" s="32">
        <v>46233</v>
      </c>
      <c r="BF120" s="49" t="s">
        <v>404</v>
      </c>
      <c r="BG120" s="10">
        <v>1</v>
      </c>
      <c r="BH120" s="10" t="s">
        <v>743</v>
      </c>
      <c r="BI120" s="32">
        <v>45161</v>
      </c>
      <c r="BJ120" s="32">
        <v>45161</v>
      </c>
      <c r="BK120" s="10"/>
      <c r="BL120" s="34">
        <v>44703</v>
      </c>
      <c r="BM120" s="34">
        <v>46529</v>
      </c>
      <c r="BN120" s="34" t="s">
        <v>163</v>
      </c>
      <c r="BO120" s="34" t="s">
        <v>164</v>
      </c>
      <c r="BP120" s="32">
        <v>46233</v>
      </c>
      <c r="BQ120" s="49" t="s">
        <v>404</v>
      </c>
      <c r="BR120" s="10">
        <v>1</v>
      </c>
      <c r="BS120" s="10" t="s">
        <v>745</v>
      </c>
      <c r="BT120" s="32">
        <v>45161</v>
      </c>
      <c r="BU120" s="32">
        <v>45161</v>
      </c>
      <c r="BV120" s="10"/>
      <c r="BW120" s="35">
        <v>44483</v>
      </c>
      <c r="BX120" s="34">
        <v>46674</v>
      </c>
      <c r="BY120" s="34" t="s">
        <v>163</v>
      </c>
      <c r="BZ120" s="35" t="s">
        <v>165</v>
      </c>
      <c r="CA120" s="32">
        <v>46233</v>
      </c>
      <c r="CB120" s="49" t="s">
        <v>404</v>
      </c>
      <c r="CC120" s="35"/>
      <c r="CD120" s="35"/>
      <c r="CE120" s="35"/>
      <c r="CF120" s="35"/>
      <c r="CG120" s="35"/>
      <c r="CH120" s="35"/>
      <c r="CI120" s="31">
        <v>1</v>
      </c>
      <c r="CJ120" s="31" t="s">
        <v>747</v>
      </c>
      <c r="CK120" s="32">
        <v>45577</v>
      </c>
      <c r="CL120" s="32">
        <v>45577</v>
      </c>
      <c r="CM120" s="32">
        <v>46233</v>
      </c>
      <c r="CN120" s="49" t="s">
        <v>404</v>
      </c>
      <c r="CO120" s="31">
        <v>1</v>
      </c>
      <c r="CP120" s="31" t="s">
        <v>755</v>
      </c>
      <c r="CQ120" s="39">
        <v>45792</v>
      </c>
      <c r="CR120" s="39">
        <v>45792</v>
      </c>
      <c r="CS120" s="32">
        <v>46233</v>
      </c>
      <c r="CT120" s="49" t="s">
        <v>404</v>
      </c>
      <c r="CU120" s="31">
        <v>1</v>
      </c>
      <c r="CV120" s="31" t="s">
        <v>764</v>
      </c>
      <c r="CW120" s="39">
        <v>45792</v>
      </c>
      <c r="CX120" s="39">
        <v>45792</v>
      </c>
      <c r="CY120" s="33">
        <v>45658</v>
      </c>
      <c r="CZ120" s="34">
        <v>46388</v>
      </c>
      <c r="DA120" s="31" t="s">
        <v>166</v>
      </c>
      <c r="DB120" s="31" t="s">
        <v>167</v>
      </c>
      <c r="DC120" s="32">
        <v>46233</v>
      </c>
      <c r="DD120" s="49" t="s">
        <v>404</v>
      </c>
      <c r="DE120" s="11">
        <v>0</v>
      </c>
      <c r="DF120" s="11"/>
      <c r="DG120" s="11"/>
      <c r="DH120" s="11"/>
      <c r="DI120" s="11"/>
      <c r="DJ120" s="11"/>
      <c r="DK120" s="11">
        <v>0</v>
      </c>
      <c r="DL120" s="11"/>
      <c r="DM120" s="11"/>
      <c r="DN120" s="11"/>
      <c r="DO120" s="11"/>
      <c r="DP120" s="11"/>
      <c r="DQ120" s="31">
        <v>0</v>
      </c>
      <c r="DR120" s="31"/>
      <c r="DS120" s="43"/>
      <c r="DT120" s="32"/>
      <c r="DU120" s="32"/>
      <c r="DV120" s="32"/>
      <c r="DW120" s="31">
        <v>0</v>
      </c>
      <c r="DX120" s="31"/>
      <c r="DY120" s="31"/>
      <c r="DZ120" s="31"/>
      <c r="EA120" s="31"/>
      <c r="EB120" s="31"/>
      <c r="EC120" s="11">
        <v>0</v>
      </c>
      <c r="ED120" s="11"/>
      <c r="EE120" s="11"/>
      <c r="EF120" s="11">
        <v>0</v>
      </c>
      <c r="EG120" s="11"/>
      <c r="EH120" s="11"/>
      <c r="EI120" s="11"/>
      <c r="EJ120" s="26"/>
      <c r="EK120" s="26"/>
      <c r="EL120" s="26"/>
    </row>
    <row r="121" spans="1:142" hidden="1">
      <c r="A121" s="11">
        <v>118</v>
      </c>
      <c r="B121" s="115">
        <v>11279</v>
      </c>
      <c r="C121" s="13" t="s">
        <v>140</v>
      </c>
      <c r="D121" s="17">
        <v>1313088515</v>
      </c>
      <c r="E121" s="17" t="s">
        <v>53</v>
      </c>
      <c r="F121" s="26" t="s">
        <v>171</v>
      </c>
      <c r="G121" s="15" t="s">
        <v>403</v>
      </c>
      <c r="H121" s="15">
        <v>1</v>
      </c>
      <c r="I121" s="10" t="s">
        <v>718</v>
      </c>
      <c r="J121" s="49">
        <v>45466</v>
      </c>
      <c r="K121" s="49">
        <v>45466</v>
      </c>
      <c r="L121" s="32">
        <v>46200</v>
      </c>
      <c r="M121" s="49" t="s">
        <v>404</v>
      </c>
      <c r="N121" s="15">
        <v>1</v>
      </c>
      <c r="O121" s="15" t="s">
        <v>726</v>
      </c>
      <c r="P121" s="32">
        <f t="shared" si="28"/>
        <v>45925</v>
      </c>
      <c r="Q121" s="50">
        <v>45925</v>
      </c>
      <c r="R121" s="32">
        <v>46200</v>
      </c>
      <c r="S121" s="49" t="s">
        <v>404</v>
      </c>
      <c r="T121" s="15">
        <v>1</v>
      </c>
      <c r="U121" s="10" t="s">
        <v>735</v>
      </c>
      <c r="V121" s="32">
        <v>45818</v>
      </c>
      <c r="W121" s="32">
        <v>45818</v>
      </c>
      <c r="X121" s="32">
        <v>46200</v>
      </c>
      <c r="Y121" s="49" t="s">
        <v>404</v>
      </c>
      <c r="Z121" s="11">
        <v>0</v>
      </c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>
        <v>0</v>
      </c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>
        <v>0</v>
      </c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>
        <v>0</v>
      </c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>
        <v>0</v>
      </c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>
        <v>0</v>
      </c>
      <c r="CJ121" s="11"/>
      <c r="CK121" s="11"/>
      <c r="CL121" s="11"/>
      <c r="CM121" s="11"/>
      <c r="CN121" s="11"/>
      <c r="CO121" s="11">
        <v>1</v>
      </c>
      <c r="CP121" s="31" t="s">
        <v>756</v>
      </c>
      <c r="CQ121" s="39">
        <v>45792</v>
      </c>
      <c r="CR121" s="39">
        <v>45792</v>
      </c>
      <c r="CS121" s="32">
        <v>46200</v>
      </c>
      <c r="CT121" s="49" t="s">
        <v>404</v>
      </c>
      <c r="CU121" s="10">
        <v>1</v>
      </c>
      <c r="CV121" s="31" t="s">
        <v>765</v>
      </c>
      <c r="CW121" s="39">
        <v>45792</v>
      </c>
      <c r="CX121" s="39">
        <v>45792</v>
      </c>
      <c r="CY121" s="33">
        <v>45658</v>
      </c>
      <c r="CZ121" s="34">
        <v>46388</v>
      </c>
      <c r="DA121" s="31" t="s">
        <v>166</v>
      </c>
      <c r="DB121" s="31" t="s">
        <v>167</v>
      </c>
      <c r="DC121" s="32">
        <v>46200</v>
      </c>
      <c r="DD121" s="49" t="s">
        <v>404</v>
      </c>
      <c r="DE121" s="11">
        <v>0</v>
      </c>
      <c r="DF121" s="11"/>
      <c r="DG121" s="11"/>
      <c r="DH121" s="11"/>
      <c r="DI121" s="11"/>
      <c r="DJ121" s="11"/>
      <c r="DK121" s="11">
        <v>0</v>
      </c>
      <c r="DL121" s="11"/>
      <c r="DM121" s="11"/>
      <c r="DN121" s="11"/>
      <c r="DO121" s="11"/>
      <c r="DP121" s="11"/>
      <c r="DQ121" s="31">
        <v>0</v>
      </c>
      <c r="DR121" s="31"/>
      <c r="DS121" s="43"/>
      <c r="DT121" s="32"/>
      <c r="DU121" s="32"/>
      <c r="DV121" s="32"/>
      <c r="DW121" s="11">
        <v>0</v>
      </c>
      <c r="DX121" s="11"/>
      <c r="DY121" s="11"/>
      <c r="DZ121" s="11"/>
      <c r="EA121" s="11"/>
      <c r="EB121" s="11"/>
      <c r="EC121" s="11">
        <v>0</v>
      </c>
      <c r="ED121" s="11"/>
      <c r="EE121" s="11"/>
      <c r="EF121" s="11">
        <v>0</v>
      </c>
      <c r="EG121" s="11"/>
      <c r="EH121" s="11"/>
      <c r="EI121" s="11"/>
      <c r="EJ121" s="26"/>
      <c r="EK121" s="26"/>
      <c r="EL121" s="26"/>
    </row>
    <row r="122" spans="1:142" hidden="1">
      <c r="A122" s="11">
        <v>119</v>
      </c>
      <c r="B122" s="115">
        <v>9793</v>
      </c>
      <c r="C122" s="126" t="s">
        <v>223</v>
      </c>
      <c r="D122" s="18">
        <v>1313088531</v>
      </c>
      <c r="E122" s="12" t="s">
        <v>30</v>
      </c>
      <c r="F122" s="26" t="s">
        <v>214</v>
      </c>
      <c r="G122" s="5" t="s">
        <v>326</v>
      </c>
      <c r="H122" s="4">
        <v>1</v>
      </c>
      <c r="I122" s="4" t="s">
        <v>479</v>
      </c>
      <c r="J122" s="39">
        <v>45466</v>
      </c>
      <c r="K122" s="39">
        <v>45466</v>
      </c>
      <c r="L122" s="39">
        <v>46233</v>
      </c>
      <c r="M122" s="4" t="s">
        <v>404</v>
      </c>
      <c r="N122" s="4">
        <v>1</v>
      </c>
      <c r="O122" s="4" t="s">
        <v>489</v>
      </c>
      <c r="P122" s="32">
        <f t="shared" si="28"/>
        <v>45573</v>
      </c>
      <c r="Q122" s="43">
        <v>45573</v>
      </c>
      <c r="R122" s="39">
        <v>46233</v>
      </c>
      <c r="S122" s="4" t="s">
        <v>404</v>
      </c>
      <c r="T122" s="4">
        <v>1</v>
      </c>
      <c r="U122" s="4" t="s">
        <v>498</v>
      </c>
      <c r="V122" s="32">
        <v>45818</v>
      </c>
      <c r="W122" s="32">
        <v>45818</v>
      </c>
      <c r="X122" s="39">
        <v>46233</v>
      </c>
      <c r="Y122" s="4" t="s">
        <v>404</v>
      </c>
      <c r="Z122" s="4">
        <v>1</v>
      </c>
      <c r="AA122" s="4" t="s">
        <v>508</v>
      </c>
      <c r="AB122" s="32">
        <f t="shared" ref="AB122" si="55">AC122</f>
        <v>45161</v>
      </c>
      <c r="AC122" s="32">
        <v>45161</v>
      </c>
      <c r="AD122" s="4"/>
      <c r="AE122" s="34">
        <v>44887</v>
      </c>
      <c r="AF122" s="34">
        <f>DATE(YEAR(AE122)+5,MONTH(AE122),DAY(AE122))</f>
        <v>46713</v>
      </c>
      <c r="AG122" s="36"/>
      <c r="AH122" s="36" t="s">
        <v>161</v>
      </c>
      <c r="AI122" s="39">
        <v>46233</v>
      </c>
      <c r="AJ122" s="4" t="s">
        <v>404</v>
      </c>
      <c r="AK122" s="4">
        <v>1</v>
      </c>
      <c r="AL122" s="4" t="s">
        <v>509</v>
      </c>
      <c r="AM122" s="32">
        <v>45161</v>
      </c>
      <c r="AN122" s="32">
        <v>45161</v>
      </c>
      <c r="AO122" s="4"/>
      <c r="AP122" s="34">
        <v>44856</v>
      </c>
      <c r="AQ122" s="34">
        <v>46687</v>
      </c>
      <c r="AR122" s="34" t="s">
        <v>163</v>
      </c>
      <c r="AS122" s="34" t="s">
        <v>162</v>
      </c>
      <c r="AT122" s="39">
        <v>46233</v>
      </c>
      <c r="AU122" s="4" t="s">
        <v>404</v>
      </c>
      <c r="AV122" s="4">
        <v>1</v>
      </c>
      <c r="AW122" s="4" t="s">
        <v>510</v>
      </c>
      <c r="AX122" s="32">
        <v>45161</v>
      </c>
      <c r="AY122" s="32">
        <v>45161</v>
      </c>
      <c r="AZ122" s="4"/>
      <c r="BA122" s="34">
        <v>44703</v>
      </c>
      <c r="BB122" s="34">
        <v>46529</v>
      </c>
      <c r="BC122" s="34" t="s">
        <v>163</v>
      </c>
      <c r="BD122" s="34" t="s">
        <v>1210</v>
      </c>
      <c r="BE122" s="39">
        <v>46233</v>
      </c>
      <c r="BF122" s="4" t="s">
        <v>404</v>
      </c>
      <c r="BG122" s="4">
        <v>1</v>
      </c>
      <c r="BH122" s="4" t="s">
        <v>511</v>
      </c>
      <c r="BI122" s="32">
        <v>45161</v>
      </c>
      <c r="BJ122" s="32">
        <v>45161</v>
      </c>
      <c r="BK122" s="4"/>
      <c r="BL122" s="34">
        <v>44703</v>
      </c>
      <c r="BM122" s="34">
        <v>46529</v>
      </c>
      <c r="BN122" s="34" t="s">
        <v>163</v>
      </c>
      <c r="BO122" s="34" t="s">
        <v>164</v>
      </c>
      <c r="BP122" s="39">
        <v>46233</v>
      </c>
      <c r="BQ122" s="4" t="s">
        <v>404</v>
      </c>
      <c r="BR122" s="4">
        <v>1</v>
      </c>
      <c r="BS122" s="4" t="s">
        <v>512</v>
      </c>
      <c r="BT122" s="32">
        <v>45161</v>
      </c>
      <c r="BU122" s="32">
        <v>45161</v>
      </c>
      <c r="BV122" s="4"/>
      <c r="BW122" s="35">
        <v>44483</v>
      </c>
      <c r="BX122" s="34">
        <v>46674</v>
      </c>
      <c r="BY122" s="34" t="s">
        <v>163</v>
      </c>
      <c r="BZ122" s="35" t="s">
        <v>165</v>
      </c>
      <c r="CA122" s="39">
        <v>46233</v>
      </c>
      <c r="CB122" s="4" t="s">
        <v>404</v>
      </c>
      <c r="CC122" s="35"/>
      <c r="CD122" s="35"/>
      <c r="CE122" s="35"/>
      <c r="CF122" s="35"/>
      <c r="CG122" s="35"/>
      <c r="CH122" s="35"/>
      <c r="CI122" s="31">
        <v>1</v>
      </c>
      <c r="CJ122" s="31"/>
      <c r="CK122" s="32">
        <v>45577</v>
      </c>
      <c r="CL122" s="32">
        <v>45577</v>
      </c>
      <c r="CM122" s="39">
        <v>46233</v>
      </c>
      <c r="CN122" s="4" t="s">
        <v>404</v>
      </c>
      <c r="CO122" s="4">
        <v>1</v>
      </c>
      <c r="CP122" s="4" t="s">
        <v>513</v>
      </c>
      <c r="CQ122" s="39">
        <v>45792</v>
      </c>
      <c r="CR122" s="39">
        <v>45792</v>
      </c>
      <c r="CS122" s="39">
        <v>46233</v>
      </c>
      <c r="CT122" s="4" t="s">
        <v>404</v>
      </c>
      <c r="CU122" s="4">
        <v>1</v>
      </c>
      <c r="CV122" s="4" t="s">
        <v>516</v>
      </c>
      <c r="CW122" s="39">
        <v>45792</v>
      </c>
      <c r="CX122" s="39">
        <v>45792</v>
      </c>
      <c r="CY122" s="33">
        <v>45658</v>
      </c>
      <c r="CZ122" s="34">
        <v>46388</v>
      </c>
      <c r="DA122" s="31" t="s">
        <v>166</v>
      </c>
      <c r="DB122" s="31" t="s">
        <v>167</v>
      </c>
      <c r="DC122" s="39">
        <v>46233</v>
      </c>
      <c r="DD122" s="4" t="s">
        <v>404</v>
      </c>
      <c r="DE122" s="4">
        <v>0</v>
      </c>
      <c r="DF122" s="4"/>
      <c r="DG122" s="4"/>
      <c r="DH122" s="4"/>
      <c r="DI122" s="4"/>
      <c r="DJ122" s="4"/>
      <c r="DK122" s="4">
        <v>0</v>
      </c>
      <c r="DL122" s="4"/>
      <c r="DM122" s="4"/>
      <c r="DN122" s="4"/>
      <c r="DO122" s="4"/>
      <c r="DP122" s="4"/>
      <c r="DQ122" s="31">
        <v>1</v>
      </c>
      <c r="DR122" s="31" t="s">
        <v>523</v>
      </c>
      <c r="DS122" s="43">
        <v>45778</v>
      </c>
      <c r="DT122" s="32">
        <f t="shared" si="30"/>
        <v>45778</v>
      </c>
      <c r="DU122" s="39">
        <v>46233</v>
      </c>
      <c r="DV122" s="4" t="s">
        <v>404</v>
      </c>
      <c r="DW122" s="4">
        <v>1</v>
      </c>
      <c r="DX122" s="4" t="s">
        <v>533</v>
      </c>
      <c r="DY122" s="43">
        <v>45575</v>
      </c>
      <c r="DZ122" s="32">
        <f>DY122</f>
        <v>45575</v>
      </c>
      <c r="EA122" s="39">
        <v>46233</v>
      </c>
      <c r="EB122" s="4" t="s">
        <v>404</v>
      </c>
      <c r="EC122" s="4">
        <v>0</v>
      </c>
      <c r="ED122" s="4"/>
      <c r="EE122" s="4"/>
      <c r="EF122" s="4">
        <v>0</v>
      </c>
      <c r="EG122" s="4"/>
      <c r="EH122" s="4"/>
      <c r="EI122" s="4"/>
      <c r="EJ122" s="26"/>
      <c r="EK122" s="26"/>
      <c r="EL122" s="26"/>
    </row>
    <row r="123" spans="1:142" ht="25.5" hidden="1">
      <c r="A123" s="11">
        <v>120</v>
      </c>
      <c r="B123" s="115">
        <v>11041</v>
      </c>
      <c r="C123" s="19" t="s">
        <v>224</v>
      </c>
      <c r="D123" s="17">
        <v>1313088169</v>
      </c>
      <c r="E123" s="17" t="s">
        <v>225</v>
      </c>
      <c r="F123" s="26" t="s">
        <v>171</v>
      </c>
      <c r="G123" s="5" t="s">
        <v>326</v>
      </c>
      <c r="H123" s="10">
        <v>1</v>
      </c>
      <c r="I123" s="4" t="s">
        <v>480</v>
      </c>
      <c r="J123" s="49">
        <v>45466</v>
      </c>
      <c r="K123" s="49">
        <v>45466</v>
      </c>
      <c r="L123" s="32">
        <v>46200</v>
      </c>
      <c r="M123" s="4" t="s">
        <v>404</v>
      </c>
      <c r="N123" s="10">
        <v>1</v>
      </c>
      <c r="O123" s="4" t="s">
        <v>490</v>
      </c>
      <c r="P123" s="32">
        <f t="shared" si="28"/>
        <v>45925</v>
      </c>
      <c r="Q123" s="39">
        <v>45925</v>
      </c>
      <c r="R123" s="32">
        <v>46200</v>
      </c>
      <c r="S123" s="4" t="s">
        <v>404</v>
      </c>
      <c r="T123" s="10">
        <v>1</v>
      </c>
      <c r="U123" s="4" t="s">
        <v>499</v>
      </c>
      <c r="V123" s="32">
        <v>45818</v>
      </c>
      <c r="W123" s="32">
        <v>45818</v>
      </c>
      <c r="X123" s="32">
        <v>46200</v>
      </c>
      <c r="Y123" s="4" t="s">
        <v>404</v>
      </c>
      <c r="Z123" s="11">
        <v>0</v>
      </c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>
        <v>0</v>
      </c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>
        <v>0</v>
      </c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>
        <v>0</v>
      </c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>
        <v>0</v>
      </c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4"/>
      <c r="CJ123" s="4"/>
      <c r="CK123" s="4"/>
      <c r="CL123" s="4"/>
      <c r="CM123" s="4"/>
      <c r="CN123" s="4"/>
      <c r="CO123" s="4">
        <v>0</v>
      </c>
      <c r="CP123" s="4"/>
      <c r="CQ123" s="39"/>
      <c r="CR123" s="39"/>
      <c r="CS123" s="39"/>
      <c r="CT123" s="39"/>
      <c r="CU123" s="11">
        <v>0</v>
      </c>
      <c r="CV123" s="11"/>
      <c r="CW123" s="39"/>
      <c r="CX123" s="39"/>
      <c r="CY123" s="33"/>
      <c r="CZ123" s="34"/>
      <c r="DA123" s="31"/>
      <c r="DB123" s="31"/>
      <c r="DC123" s="31"/>
      <c r="DD123" s="31"/>
      <c r="DE123" s="11">
        <v>0</v>
      </c>
      <c r="DF123" s="11"/>
      <c r="DG123" s="11"/>
      <c r="DH123" s="11"/>
      <c r="DI123" s="11"/>
      <c r="DJ123" s="11"/>
      <c r="DK123" s="11">
        <v>0</v>
      </c>
      <c r="DL123" s="11"/>
      <c r="DM123" s="11"/>
      <c r="DN123" s="11"/>
      <c r="DO123" s="11"/>
      <c r="DP123" s="11"/>
      <c r="DQ123" s="31">
        <v>1</v>
      </c>
      <c r="DR123" s="31" t="s">
        <v>524</v>
      </c>
      <c r="DS123" s="43">
        <v>45778</v>
      </c>
      <c r="DT123" s="32">
        <f t="shared" si="30"/>
        <v>45778</v>
      </c>
      <c r="DU123" s="39">
        <v>46050</v>
      </c>
      <c r="DV123" s="4" t="s">
        <v>404</v>
      </c>
      <c r="DW123" s="4">
        <v>0</v>
      </c>
      <c r="DX123" s="4"/>
      <c r="DY123" s="4"/>
      <c r="DZ123" s="4"/>
      <c r="EA123" s="4"/>
      <c r="EB123" s="4"/>
      <c r="EC123" s="11">
        <v>0</v>
      </c>
      <c r="ED123" s="11"/>
      <c r="EE123" s="11"/>
      <c r="EF123" s="11">
        <v>0</v>
      </c>
      <c r="EG123" s="11"/>
      <c r="EH123" s="43"/>
      <c r="EI123" s="43"/>
      <c r="EJ123" s="26"/>
      <c r="EK123" s="26"/>
      <c r="EL123" s="26"/>
    </row>
    <row r="124" spans="1:142" hidden="1">
      <c r="A124" s="11">
        <v>121</v>
      </c>
      <c r="B124" s="115">
        <v>11420</v>
      </c>
      <c r="C124" s="12" t="s">
        <v>226</v>
      </c>
      <c r="D124" s="17">
        <v>1313088430</v>
      </c>
      <c r="E124" s="17" t="s">
        <v>45</v>
      </c>
      <c r="F124" s="26" t="s">
        <v>171</v>
      </c>
      <c r="G124" s="5" t="s">
        <v>326</v>
      </c>
      <c r="H124" s="10">
        <v>1</v>
      </c>
      <c r="I124" s="4" t="s">
        <v>481</v>
      </c>
      <c r="J124" s="49">
        <v>45466</v>
      </c>
      <c r="K124" s="49">
        <v>45466</v>
      </c>
      <c r="L124" s="32">
        <v>46200</v>
      </c>
      <c r="M124" s="4" t="s">
        <v>404</v>
      </c>
      <c r="N124" s="10">
        <v>1</v>
      </c>
      <c r="O124" s="4" t="s">
        <v>491</v>
      </c>
      <c r="P124" s="32">
        <f t="shared" si="28"/>
        <v>45925</v>
      </c>
      <c r="Q124" s="39">
        <v>45925</v>
      </c>
      <c r="R124" s="32">
        <v>46200</v>
      </c>
      <c r="S124" s="4" t="s">
        <v>404</v>
      </c>
      <c r="T124" s="10">
        <v>1</v>
      </c>
      <c r="U124" s="4" t="s">
        <v>500</v>
      </c>
      <c r="V124" s="32">
        <v>45818</v>
      </c>
      <c r="W124" s="32">
        <v>45818</v>
      </c>
      <c r="X124" s="32">
        <v>46200</v>
      </c>
      <c r="Y124" s="4" t="s">
        <v>404</v>
      </c>
      <c r="Z124" s="11">
        <v>0</v>
      </c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>
        <v>0</v>
      </c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>
        <v>0</v>
      </c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>
        <v>0</v>
      </c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>
        <v>0</v>
      </c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>
        <v>0</v>
      </c>
      <c r="CP124" s="11"/>
      <c r="CQ124" s="39"/>
      <c r="CR124" s="39"/>
      <c r="CS124" s="39"/>
      <c r="CT124" s="39"/>
      <c r="CU124" s="4">
        <v>1</v>
      </c>
      <c r="CV124" s="4" t="s">
        <v>517</v>
      </c>
      <c r="CW124" s="39">
        <v>45792</v>
      </c>
      <c r="CX124" s="39">
        <v>45792</v>
      </c>
      <c r="CY124" s="33">
        <v>45658</v>
      </c>
      <c r="CZ124" s="34">
        <v>46388</v>
      </c>
      <c r="DA124" s="31" t="s">
        <v>166</v>
      </c>
      <c r="DB124" s="31" t="s">
        <v>167</v>
      </c>
      <c r="DC124" s="32">
        <v>46200</v>
      </c>
      <c r="DD124" s="4" t="s">
        <v>404</v>
      </c>
      <c r="DE124" s="11">
        <v>0</v>
      </c>
      <c r="DF124" s="11"/>
      <c r="DG124" s="11"/>
      <c r="DH124" s="11"/>
      <c r="DI124" s="11"/>
      <c r="DJ124" s="11"/>
      <c r="DK124" s="11">
        <v>0</v>
      </c>
      <c r="DL124" s="11"/>
      <c r="DM124" s="11"/>
      <c r="DN124" s="11"/>
      <c r="DO124" s="11"/>
      <c r="DP124" s="11"/>
      <c r="DQ124" s="31">
        <v>1</v>
      </c>
      <c r="DR124" s="31" t="s">
        <v>525</v>
      </c>
      <c r="DS124" s="43">
        <v>45778</v>
      </c>
      <c r="DT124" s="32">
        <f t="shared" si="30"/>
        <v>45778</v>
      </c>
      <c r="DU124" s="39">
        <v>46050</v>
      </c>
      <c r="DV124" s="4" t="s">
        <v>404</v>
      </c>
      <c r="DW124" s="4">
        <v>0</v>
      </c>
      <c r="DX124" s="4"/>
      <c r="DY124" s="4"/>
      <c r="DZ124" s="4"/>
      <c r="EA124" s="4"/>
      <c r="EB124" s="4"/>
      <c r="EC124" s="11">
        <v>0</v>
      </c>
      <c r="ED124" s="11"/>
      <c r="EE124" s="11"/>
      <c r="EF124" s="11">
        <v>0</v>
      </c>
      <c r="EG124" s="11"/>
      <c r="EH124" s="11"/>
      <c r="EI124" s="11"/>
      <c r="EJ124" s="26"/>
      <c r="EK124" s="26"/>
      <c r="EL124" s="26"/>
    </row>
    <row r="125" spans="1:142" hidden="1">
      <c r="A125" s="11">
        <v>122</v>
      </c>
      <c r="B125" s="115">
        <v>11836</v>
      </c>
      <c r="C125" s="18" t="s">
        <v>230</v>
      </c>
      <c r="D125" s="12">
        <v>1759533665</v>
      </c>
      <c r="E125" s="12" t="s">
        <v>26</v>
      </c>
      <c r="F125" s="26" t="s">
        <v>171</v>
      </c>
      <c r="G125" s="5" t="s">
        <v>326</v>
      </c>
      <c r="H125" s="10">
        <v>1</v>
      </c>
      <c r="I125" s="4" t="s">
        <v>482</v>
      </c>
      <c r="J125" s="49">
        <v>45466</v>
      </c>
      <c r="K125" s="49">
        <v>45466</v>
      </c>
      <c r="L125" s="32">
        <v>46200</v>
      </c>
      <c r="M125" s="4" t="s">
        <v>404</v>
      </c>
      <c r="N125" s="10">
        <v>1</v>
      </c>
      <c r="O125" s="4" t="s">
        <v>492</v>
      </c>
      <c r="P125" s="32">
        <f t="shared" si="28"/>
        <v>45925</v>
      </c>
      <c r="Q125" s="39">
        <v>45925</v>
      </c>
      <c r="R125" s="32">
        <v>46200</v>
      </c>
      <c r="S125" s="4" t="s">
        <v>404</v>
      </c>
      <c r="T125" s="10">
        <v>1</v>
      </c>
      <c r="U125" s="4" t="s">
        <v>501</v>
      </c>
      <c r="V125" s="32">
        <v>45818</v>
      </c>
      <c r="W125" s="32">
        <v>45818</v>
      </c>
      <c r="X125" s="32">
        <v>46200</v>
      </c>
      <c r="Y125" s="4" t="s">
        <v>404</v>
      </c>
      <c r="Z125" s="11">
        <v>0</v>
      </c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>
        <v>0</v>
      </c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>
        <v>0</v>
      </c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>
        <v>0</v>
      </c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>
        <v>0</v>
      </c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>
        <v>0</v>
      </c>
      <c r="CP125" s="11"/>
      <c r="CQ125" s="39"/>
      <c r="CR125" s="39"/>
      <c r="CS125" s="39"/>
      <c r="CT125" s="39"/>
      <c r="CU125" s="4">
        <v>1</v>
      </c>
      <c r="CV125" s="4" t="s">
        <v>518</v>
      </c>
      <c r="CW125" s="39">
        <v>45792</v>
      </c>
      <c r="CX125" s="39">
        <v>45792</v>
      </c>
      <c r="CY125" s="33">
        <v>45658</v>
      </c>
      <c r="CZ125" s="34">
        <v>46388</v>
      </c>
      <c r="DA125" s="31" t="s">
        <v>166</v>
      </c>
      <c r="DB125" s="31" t="s">
        <v>167</v>
      </c>
      <c r="DC125" s="32">
        <v>46200</v>
      </c>
      <c r="DD125" s="4" t="s">
        <v>404</v>
      </c>
      <c r="DE125" s="11">
        <v>0</v>
      </c>
      <c r="DF125" s="11"/>
      <c r="DG125" s="11"/>
      <c r="DH125" s="11"/>
      <c r="DI125" s="11"/>
      <c r="DJ125" s="11"/>
      <c r="DK125" s="11">
        <v>0</v>
      </c>
      <c r="DL125" s="11"/>
      <c r="DM125" s="11"/>
      <c r="DN125" s="11"/>
      <c r="DO125" s="11"/>
      <c r="DP125" s="11"/>
      <c r="DQ125" s="31">
        <v>1</v>
      </c>
      <c r="DR125" s="31" t="s">
        <v>526</v>
      </c>
      <c r="DS125" s="43">
        <v>45778</v>
      </c>
      <c r="DT125" s="32">
        <f t="shared" si="30"/>
        <v>45778</v>
      </c>
      <c r="DU125" s="39">
        <v>46050</v>
      </c>
      <c r="DV125" s="4" t="s">
        <v>404</v>
      </c>
      <c r="DW125" s="4">
        <v>1</v>
      </c>
      <c r="DX125" s="4" t="s">
        <v>534</v>
      </c>
      <c r="DY125" s="43">
        <v>45575</v>
      </c>
      <c r="DZ125" s="32">
        <f>DY125</f>
        <v>45575</v>
      </c>
      <c r="EA125" s="39">
        <v>46050</v>
      </c>
      <c r="EB125" s="4" t="s">
        <v>404</v>
      </c>
      <c r="EC125" s="11">
        <v>0</v>
      </c>
      <c r="ED125" s="11"/>
      <c r="EE125" s="11"/>
      <c r="EF125" s="11">
        <v>0</v>
      </c>
      <c r="EG125" s="11"/>
      <c r="EH125" s="11"/>
      <c r="EI125" s="11"/>
      <c r="EJ125" s="26"/>
      <c r="EK125" s="26"/>
      <c r="EL125" s="26"/>
    </row>
    <row r="126" spans="1:142" hidden="1">
      <c r="A126" s="11">
        <v>123</v>
      </c>
      <c r="B126" s="116">
        <v>11843</v>
      </c>
      <c r="C126" s="12" t="s">
        <v>231</v>
      </c>
      <c r="D126" s="12">
        <v>1331581955</v>
      </c>
      <c r="E126" s="12" t="s">
        <v>44</v>
      </c>
      <c r="F126" s="26" t="s">
        <v>171</v>
      </c>
      <c r="G126" s="5" t="s">
        <v>326</v>
      </c>
      <c r="H126" s="10">
        <v>1</v>
      </c>
      <c r="I126" s="4" t="s">
        <v>483</v>
      </c>
      <c r="J126" s="49">
        <v>45466</v>
      </c>
      <c r="K126" s="49">
        <v>45466</v>
      </c>
      <c r="L126" s="32">
        <v>46200</v>
      </c>
      <c r="M126" s="4" t="s">
        <v>404</v>
      </c>
      <c r="N126" s="10">
        <v>1</v>
      </c>
      <c r="O126" s="4" t="s">
        <v>493</v>
      </c>
      <c r="P126" s="32">
        <f t="shared" si="28"/>
        <v>45925</v>
      </c>
      <c r="Q126" s="39">
        <v>45925</v>
      </c>
      <c r="R126" s="32">
        <v>46200</v>
      </c>
      <c r="S126" s="4" t="s">
        <v>404</v>
      </c>
      <c r="T126" s="10">
        <v>1</v>
      </c>
      <c r="U126" s="4" t="s">
        <v>502</v>
      </c>
      <c r="V126" s="32">
        <v>45818</v>
      </c>
      <c r="W126" s="32">
        <v>45818</v>
      </c>
      <c r="X126" s="32">
        <v>46200</v>
      </c>
      <c r="Y126" s="4" t="s">
        <v>404</v>
      </c>
      <c r="Z126" s="11">
        <v>0</v>
      </c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>
        <v>0</v>
      </c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>
        <v>0</v>
      </c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>
        <v>0</v>
      </c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>
        <v>0</v>
      </c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4"/>
      <c r="CJ126" s="4"/>
      <c r="CK126" s="4"/>
      <c r="CL126" s="4"/>
      <c r="CM126" s="4"/>
      <c r="CN126" s="4"/>
      <c r="CO126" s="4">
        <v>0</v>
      </c>
      <c r="CP126" s="4"/>
      <c r="CQ126" s="39"/>
      <c r="CR126" s="39"/>
      <c r="CS126" s="39"/>
      <c r="CT126" s="39"/>
      <c r="CU126" s="4">
        <v>1</v>
      </c>
      <c r="CV126" s="4" t="s">
        <v>519</v>
      </c>
      <c r="CW126" s="39">
        <v>45792</v>
      </c>
      <c r="CX126" s="39">
        <v>45792</v>
      </c>
      <c r="CY126" s="33">
        <v>45658</v>
      </c>
      <c r="CZ126" s="34">
        <v>46388</v>
      </c>
      <c r="DA126" s="31" t="s">
        <v>166</v>
      </c>
      <c r="DB126" s="31" t="s">
        <v>167</v>
      </c>
      <c r="DC126" s="32">
        <v>46200</v>
      </c>
      <c r="DD126" s="4" t="s">
        <v>404</v>
      </c>
      <c r="DE126" s="11">
        <v>0</v>
      </c>
      <c r="DF126" s="11"/>
      <c r="DG126" s="11"/>
      <c r="DH126" s="11"/>
      <c r="DI126" s="11"/>
      <c r="DJ126" s="11"/>
      <c r="DK126" s="11">
        <v>0</v>
      </c>
      <c r="DL126" s="11"/>
      <c r="DM126" s="11"/>
      <c r="DN126" s="11"/>
      <c r="DO126" s="11"/>
      <c r="DP126" s="11"/>
      <c r="DQ126" s="31">
        <v>1</v>
      </c>
      <c r="DR126" s="31" t="s">
        <v>527</v>
      </c>
      <c r="DS126" s="43">
        <v>45778</v>
      </c>
      <c r="DT126" s="32">
        <f t="shared" si="30"/>
        <v>45778</v>
      </c>
      <c r="DU126" s="39">
        <v>46050</v>
      </c>
      <c r="DV126" s="4" t="s">
        <v>404</v>
      </c>
      <c r="DW126" s="4">
        <v>0</v>
      </c>
      <c r="DX126" s="4"/>
      <c r="DY126" s="4"/>
      <c r="DZ126" s="4"/>
      <c r="EA126" s="4"/>
      <c r="EB126" s="4"/>
      <c r="EC126" s="11">
        <v>0</v>
      </c>
      <c r="ED126" s="11"/>
      <c r="EE126" s="11"/>
      <c r="EF126" s="11">
        <v>0</v>
      </c>
      <c r="EG126" s="11"/>
      <c r="EH126" s="11"/>
      <c r="EI126" s="11"/>
      <c r="EJ126" s="26"/>
      <c r="EK126" s="26"/>
      <c r="EL126" s="26"/>
    </row>
    <row r="127" spans="1:142" hidden="1">
      <c r="A127" s="11">
        <v>124</v>
      </c>
      <c r="B127" s="115">
        <v>11746</v>
      </c>
      <c r="C127" s="17" t="s">
        <v>227</v>
      </c>
      <c r="D127" s="17">
        <v>1313088525</v>
      </c>
      <c r="E127" s="16" t="s">
        <v>228</v>
      </c>
      <c r="F127" s="26" t="s">
        <v>171</v>
      </c>
      <c r="G127" s="5" t="s">
        <v>326</v>
      </c>
      <c r="H127" s="10">
        <v>1</v>
      </c>
      <c r="I127" s="4" t="s">
        <v>484</v>
      </c>
      <c r="J127" s="49">
        <v>45466</v>
      </c>
      <c r="K127" s="49">
        <v>45466</v>
      </c>
      <c r="L127" s="32">
        <v>46200</v>
      </c>
      <c r="M127" s="4" t="s">
        <v>404</v>
      </c>
      <c r="N127" s="10">
        <v>1</v>
      </c>
      <c r="O127" s="4" t="s">
        <v>494</v>
      </c>
      <c r="P127" s="32">
        <f t="shared" si="28"/>
        <v>45925</v>
      </c>
      <c r="Q127" s="39">
        <v>45925</v>
      </c>
      <c r="R127" s="32">
        <v>46200</v>
      </c>
      <c r="S127" s="4" t="s">
        <v>404</v>
      </c>
      <c r="T127" s="10">
        <v>1</v>
      </c>
      <c r="U127" s="4" t="s">
        <v>503</v>
      </c>
      <c r="V127" s="32">
        <v>45818</v>
      </c>
      <c r="W127" s="32">
        <v>45818</v>
      </c>
      <c r="X127" s="32">
        <v>46200</v>
      </c>
      <c r="Y127" s="4" t="s">
        <v>404</v>
      </c>
      <c r="Z127" s="11">
        <v>0</v>
      </c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>
        <v>0</v>
      </c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>
        <v>0</v>
      </c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>
        <v>0</v>
      </c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>
        <v>0</v>
      </c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4">
        <v>1</v>
      </c>
      <c r="CP127" s="4" t="s">
        <v>514</v>
      </c>
      <c r="CQ127" s="39">
        <v>45792</v>
      </c>
      <c r="CR127" s="39">
        <v>45792</v>
      </c>
      <c r="CS127" s="32">
        <v>46200</v>
      </c>
      <c r="CT127" s="4" t="s">
        <v>404</v>
      </c>
      <c r="CU127" s="11">
        <v>1</v>
      </c>
      <c r="CV127" s="4" t="s">
        <v>520</v>
      </c>
      <c r="CW127" s="39">
        <v>45792</v>
      </c>
      <c r="CX127" s="39">
        <v>45792</v>
      </c>
      <c r="CY127" s="33">
        <v>45658</v>
      </c>
      <c r="CZ127" s="34">
        <v>46388</v>
      </c>
      <c r="DA127" s="31" t="s">
        <v>166</v>
      </c>
      <c r="DB127" s="31" t="s">
        <v>167</v>
      </c>
      <c r="DC127" s="32">
        <v>46200</v>
      </c>
      <c r="DD127" s="4" t="s">
        <v>404</v>
      </c>
      <c r="DE127" s="11">
        <v>0</v>
      </c>
      <c r="DF127" s="11"/>
      <c r="DG127" s="11"/>
      <c r="DH127" s="11"/>
      <c r="DI127" s="11"/>
      <c r="DJ127" s="11"/>
      <c r="DK127" s="11">
        <v>0</v>
      </c>
      <c r="DL127" s="11"/>
      <c r="DM127" s="11"/>
      <c r="DN127" s="11"/>
      <c r="DO127" s="11"/>
      <c r="DP127" s="11"/>
      <c r="DQ127" s="31">
        <v>1</v>
      </c>
      <c r="DR127" s="31" t="s">
        <v>528</v>
      </c>
      <c r="DS127" s="43">
        <v>45778</v>
      </c>
      <c r="DT127" s="32">
        <f t="shared" si="30"/>
        <v>45778</v>
      </c>
      <c r="DU127" s="39">
        <v>46050</v>
      </c>
      <c r="DV127" s="4" t="s">
        <v>404</v>
      </c>
      <c r="DW127" s="11">
        <v>0</v>
      </c>
      <c r="DX127" s="11"/>
      <c r="DY127" s="43"/>
      <c r="DZ127" s="32"/>
      <c r="EA127" s="32"/>
      <c r="EB127" s="32"/>
      <c r="EC127" s="11">
        <v>0</v>
      </c>
      <c r="ED127" s="11"/>
      <c r="EE127" s="11"/>
      <c r="EF127" s="11">
        <v>0</v>
      </c>
      <c r="EG127" s="11"/>
      <c r="EH127" s="11"/>
      <c r="EI127" s="11"/>
      <c r="EJ127" s="26"/>
      <c r="EK127" s="26"/>
      <c r="EL127" s="26"/>
    </row>
    <row r="128" spans="1:142" hidden="1">
      <c r="A128" s="11">
        <v>125</v>
      </c>
      <c r="B128" s="115">
        <v>12025</v>
      </c>
      <c r="C128" s="17" t="s">
        <v>131</v>
      </c>
      <c r="D128" s="17">
        <v>1313088121</v>
      </c>
      <c r="E128" s="16" t="s">
        <v>323</v>
      </c>
      <c r="F128" s="26" t="s">
        <v>171</v>
      </c>
      <c r="G128" s="5" t="s">
        <v>326</v>
      </c>
      <c r="H128" s="10">
        <v>1</v>
      </c>
      <c r="I128" s="4" t="s">
        <v>485</v>
      </c>
      <c r="J128" s="49">
        <v>45466</v>
      </c>
      <c r="K128" s="49">
        <v>45466</v>
      </c>
      <c r="L128" s="32">
        <v>46200</v>
      </c>
      <c r="M128" s="32" t="s">
        <v>405</v>
      </c>
      <c r="N128" s="10">
        <v>1</v>
      </c>
      <c r="O128" s="4" t="s">
        <v>495</v>
      </c>
      <c r="P128" s="32">
        <f t="shared" ref="P128" si="56">Q128</f>
        <v>45925</v>
      </c>
      <c r="Q128" s="39">
        <v>45925</v>
      </c>
      <c r="R128" s="32">
        <v>46200</v>
      </c>
      <c r="S128" s="4" t="s">
        <v>404</v>
      </c>
      <c r="T128" s="10">
        <v>1</v>
      </c>
      <c r="U128" s="4" t="s">
        <v>504</v>
      </c>
      <c r="V128" s="32">
        <v>45818</v>
      </c>
      <c r="W128" s="32">
        <v>45818</v>
      </c>
      <c r="X128" s="32">
        <v>46200</v>
      </c>
      <c r="Y128" s="4" t="s">
        <v>404</v>
      </c>
      <c r="Z128" s="11">
        <v>0</v>
      </c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>
        <v>0</v>
      </c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>
        <v>0</v>
      </c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>
        <v>0</v>
      </c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>
        <v>0</v>
      </c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4">
        <v>1</v>
      </c>
      <c r="CP128" s="4" t="s">
        <v>515</v>
      </c>
      <c r="CQ128" s="39">
        <v>45792</v>
      </c>
      <c r="CR128" s="39">
        <v>45792</v>
      </c>
      <c r="CS128" s="32">
        <v>46200</v>
      </c>
      <c r="CT128" s="4" t="s">
        <v>404</v>
      </c>
      <c r="CU128" s="11">
        <v>1</v>
      </c>
      <c r="CV128" s="4" t="s">
        <v>521</v>
      </c>
      <c r="CW128" s="39">
        <v>45792</v>
      </c>
      <c r="CX128" s="39">
        <v>45792</v>
      </c>
      <c r="CY128" s="33">
        <v>45658</v>
      </c>
      <c r="CZ128" s="34">
        <v>46388</v>
      </c>
      <c r="DA128" s="31" t="s">
        <v>166</v>
      </c>
      <c r="DB128" s="31" t="s">
        <v>167</v>
      </c>
      <c r="DC128" s="32">
        <v>46200</v>
      </c>
      <c r="DD128" s="4" t="s">
        <v>404</v>
      </c>
      <c r="DE128" s="11">
        <v>0</v>
      </c>
      <c r="DF128" s="11"/>
      <c r="DG128" s="11"/>
      <c r="DH128" s="11"/>
      <c r="DI128" s="11"/>
      <c r="DJ128" s="11"/>
      <c r="DK128" s="11">
        <v>0</v>
      </c>
      <c r="DL128" s="11"/>
      <c r="DM128" s="11"/>
      <c r="DN128" s="11"/>
      <c r="DO128" s="11"/>
      <c r="DP128" s="11"/>
      <c r="DQ128" s="31">
        <v>1</v>
      </c>
      <c r="DR128" s="31" t="s">
        <v>529</v>
      </c>
      <c r="DS128" s="43">
        <v>45778</v>
      </c>
      <c r="DT128" s="32">
        <f t="shared" ref="DT128" si="57">DS128</f>
        <v>45778</v>
      </c>
      <c r="DU128" s="39">
        <v>46050</v>
      </c>
      <c r="DV128" s="4" t="s">
        <v>404</v>
      </c>
      <c r="DW128" s="11">
        <v>0</v>
      </c>
      <c r="DX128" s="11"/>
      <c r="DY128" s="43"/>
      <c r="DZ128" s="32"/>
      <c r="EA128" s="32"/>
      <c r="EB128" s="32"/>
      <c r="EC128" s="11">
        <v>0</v>
      </c>
      <c r="ED128" s="11"/>
      <c r="EE128" s="11"/>
      <c r="EF128" s="11">
        <v>0</v>
      </c>
      <c r="EG128" s="11"/>
      <c r="EH128" s="11"/>
      <c r="EI128" s="11"/>
      <c r="EJ128" s="26"/>
      <c r="EK128" s="26"/>
      <c r="EL128" s="26"/>
    </row>
    <row r="129" spans="1:142" hidden="1">
      <c r="A129" s="11">
        <v>126</v>
      </c>
      <c r="B129" s="115">
        <v>6966</v>
      </c>
      <c r="C129" s="17" t="s">
        <v>133</v>
      </c>
      <c r="D129" s="17">
        <v>1313088408</v>
      </c>
      <c r="E129" s="16" t="s">
        <v>26</v>
      </c>
      <c r="F129" s="26" t="s">
        <v>171</v>
      </c>
      <c r="G129" s="5" t="s">
        <v>326</v>
      </c>
      <c r="H129" s="10">
        <v>1</v>
      </c>
      <c r="I129" s="4" t="s">
        <v>486</v>
      </c>
      <c r="J129" s="49">
        <v>45466</v>
      </c>
      <c r="K129" s="49">
        <v>45466</v>
      </c>
      <c r="L129" s="32">
        <v>46200</v>
      </c>
      <c r="M129" s="32" t="s">
        <v>405</v>
      </c>
      <c r="N129" s="10">
        <v>1</v>
      </c>
      <c r="O129" s="4" t="s">
        <v>496</v>
      </c>
      <c r="P129" s="32">
        <f t="shared" ref="P129" si="58">Q129</f>
        <v>45925</v>
      </c>
      <c r="Q129" s="39">
        <v>45925</v>
      </c>
      <c r="R129" s="32">
        <v>46200</v>
      </c>
      <c r="S129" s="4" t="s">
        <v>404</v>
      </c>
      <c r="T129" s="10">
        <v>1</v>
      </c>
      <c r="U129" s="4" t="s">
        <v>505</v>
      </c>
      <c r="V129" s="32">
        <v>45818</v>
      </c>
      <c r="W129" s="32">
        <v>45818</v>
      </c>
      <c r="X129" s="32">
        <v>46200</v>
      </c>
      <c r="Y129" s="4" t="s">
        <v>404</v>
      </c>
      <c r="Z129" s="11">
        <v>0</v>
      </c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>
        <v>0</v>
      </c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>
        <v>0</v>
      </c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>
        <v>0</v>
      </c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>
        <v>0</v>
      </c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4">
        <v>0</v>
      </c>
      <c r="CP129" s="4"/>
      <c r="CQ129" s="39"/>
      <c r="CR129" s="39"/>
      <c r="CS129" s="39"/>
      <c r="CT129" s="39"/>
      <c r="CU129" s="11">
        <v>1</v>
      </c>
      <c r="CV129" s="4" t="s">
        <v>522</v>
      </c>
      <c r="CW129" s="39">
        <v>45792</v>
      </c>
      <c r="CX129" s="39">
        <v>45792</v>
      </c>
      <c r="CY129" s="33">
        <v>45658</v>
      </c>
      <c r="CZ129" s="34">
        <v>46388</v>
      </c>
      <c r="DA129" s="31" t="s">
        <v>166</v>
      </c>
      <c r="DB129" s="31" t="s">
        <v>167</v>
      </c>
      <c r="DC129" s="32">
        <v>46200</v>
      </c>
      <c r="DD129" s="4" t="s">
        <v>404</v>
      </c>
      <c r="DE129" s="11">
        <v>0</v>
      </c>
      <c r="DF129" s="11"/>
      <c r="DG129" s="11"/>
      <c r="DH129" s="11"/>
      <c r="DI129" s="11"/>
      <c r="DJ129" s="11"/>
      <c r="DK129" s="11">
        <v>0</v>
      </c>
      <c r="DL129" s="11"/>
      <c r="DM129" s="11"/>
      <c r="DN129" s="11"/>
      <c r="DO129" s="11"/>
      <c r="DP129" s="11"/>
      <c r="DQ129" s="31">
        <v>1</v>
      </c>
      <c r="DR129" s="31" t="s">
        <v>530</v>
      </c>
      <c r="DS129" s="43">
        <v>45778</v>
      </c>
      <c r="DT129" s="32">
        <f t="shared" ref="DT129" si="59">DS129</f>
        <v>45778</v>
      </c>
      <c r="DU129" s="39">
        <v>46050</v>
      </c>
      <c r="DV129" s="4" t="s">
        <v>404</v>
      </c>
      <c r="DW129" s="11">
        <v>1</v>
      </c>
      <c r="DX129" s="4" t="s">
        <v>535</v>
      </c>
      <c r="DY129" s="43">
        <v>45575</v>
      </c>
      <c r="DZ129" s="32">
        <f>DY129</f>
        <v>45575</v>
      </c>
      <c r="EA129" s="39">
        <v>46050</v>
      </c>
      <c r="EB129" s="4" t="s">
        <v>404</v>
      </c>
      <c r="EC129" s="11">
        <v>0</v>
      </c>
      <c r="ED129" s="11"/>
      <c r="EE129" s="11"/>
      <c r="EF129" s="11">
        <v>0</v>
      </c>
      <c r="EG129" s="11"/>
      <c r="EH129" s="11"/>
      <c r="EI129" s="11"/>
      <c r="EJ129" s="26"/>
      <c r="EK129" s="26"/>
      <c r="EL129" s="26"/>
    </row>
    <row r="130" spans="1:142" hidden="1">
      <c r="A130" s="11">
        <v>127</v>
      </c>
      <c r="B130" s="115">
        <v>11747</v>
      </c>
      <c r="C130" s="17" t="s">
        <v>97</v>
      </c>
      <c r="D130" s="17">
        <v>1313088097</v>
      </c>
      <c r="E130" s="12" t="s">
        <v>229</v>
      </c>
      <c r="F130" s="26" t="s">
        <v>171</v>
      </c>
      <c r="G130" s="5" t="s">
        <v>326</v>
      </c>
      <c r="H130" s="10">
        <v>1</v>
      </c>
      <c r="I130" s="4" t="s">
        <v>487</v>
      </c>
      <c r="J130" s="39">
        <v>45466</v>
      </c>
      <c r="K130" s="39">
        <v>45466</v>
      </c>
      <c r="L130" s="32">
        <v>46200</v>
      </c>
      <c r="M130" s="32" t="s">
        <v>405</v>
      </c>
      <c r="N130" s="10">
        <v>1</v>
      </c>
      <c r="O130" s="10"/>
      <c r="P130" s="32"/>
      <c r="Q130" s="39"/>
      <c r="R130" s="32">
        <v>46200</v>
      </c>
      <c r="S130" s="39"/>
      <c r="T130" s="10">
        <v>1</v>
      </c>
      <c r="U130" s="4" t="s">
        <v>506</v>
      </c>
      <c r="V130" s="32">
        <v>45818</v>
      </c>
      <c r="W130" s="32">
        <v>45818</v>
      </c>
      <c r="X130" s="32">
        <v>46200</v>
      </c>
      <c r="Y130" s="4" t="s">
        <v>404</v>
      </c>
      <c r="Z130" s="10">
        <v>0</v>
      </c>
      <c r="AA130" s="10"/>
      <c r="AB130" s="10"/>
      <c r="AC130" s="10"/>
      <c r="AD130" s="10"/>
      <c r="AE130" s="22"/>
      <c r="AF130" s="22"/>
      <c r="AG130" s="5"/>
      <c r="AH130" s="5"/>
      <c r="AI130" s="5"/>
      <c r="AJ130" s="5"/>
      <c r="AK130" s="10">
        <v>0</v>
      </c>
      <c r="AL130" s="10"/>
      <c r="AM130" s="10"/>
      <c r="AN130" s="10"/>
      <c r="AO130" s="10"/>
      <c r="AP130" s="22"/>
      <c r="AQ130" s="22"/>
      <c r="AR130" s="22"/>
      <c r="AS130" s="22"/>
      <c r="AT130" s="22"/>
      <c r="AU130" s="22"/>
      <c r="AV130" s="10">
        <v>0</v>
      </c>
      <c r="AW130" s="10"/>
      <c r="AX130" s="10"/>
      <c r="AY130" s="10"/>
      <c r="AZ130" s="10"/>
      <c r="BA130" s="22"/>
      <c r="BB130" s="22"/>
      <c r="BC130" s="22"/>
      <c r="BD130" s="22"/>
      <c r="BE130" s="22"/>
      <c r="BF130" s="22"/>
      <c r="BG130" s="10">
        <v>0</v>
      </c>
      <c r="BH130" s="10"/>
      <c r="BI130" s="10"/>
      <c r="BJ130" s="10"/>
      <c r="BK130" s="10"/>
      <c r="BL130" s="22"/>
      <c r="BM130" s="22"/>
      <c r="BN130" s="22"/>
      <c r="BO130" s="22"/>
      <c r="BP130" s="22"/>
      <c r="BQ130" s="22"/>
      <c r="BR130" s="10">
        <v>0</v>
      </c>
      <c r="BS130" s="10"/>
      <c r="BT130" s="10"/>
      <c r="BU130" s="10"/>
      <c r="BV130" s="10"/>
      <c r="BW130" s="23"/>
      <c r="BX130" s="22"/>
      <c r="BY130" s="22"/>
      <c r="BZ130" s="23"/>
      <c r="CA130" s="23"/>
      <c r="CB130" s="23"/>
      <c r="CC130" s="23"/>
      <c r="CD130" s="23"/>
      <c r="CE130" s="23"/>
      <c r="CF130" s="23"/>
      <c r="CG130" s="23"/>
      <c r="CH130" s="23"/>
      <c r="CI130" s="4"/>
      <c r="CJ130" s="4"/>
      <c r="CK130" s="4"/>
      <c r="CL130" s="4"/>
      <c r="CM130" s="4"/>
      <c r="CN130" s="4"/>
      <c r="CO130" s="4">
        <v>0</v>
      </c>
      <c r="CP130" s="4"/>
      <c r="CQ130" s="39"/>
      <c r="CR130" s="39"/>
      <c r="CS130" s="39"/>
      <c r="CT130" s="39"/>
      <c r="CU130" s="4">
        <v>0</v>
      </c>
      <c r="CV130" s="4"/>
      <c r="CW130" s="39"/>
      <c r="CX130" s="39"/>
      <c r="CY130" s="33"/>
      <c r="CZ130" s="34"/>
      <c r="DA130" s="31"/>
      <c r="DB130" s="31"/>
      <c r="DC130" s="31"/>
      <c r="DD130" s="31"/>
      <c r="DE130" s="11">
        <v>0</v>
      </c>
      <c r="DF130" s="11"/>
      <c r="DG130" s="11"/>
      <c r="DH130" s="11"/>
      <c r="DI130" s="11"/>
      <c r="DJ130" s="11"/>
      <c r="DK130" s="11">
        <v>0</v>
      </c>
      <c r="DL130" s="11"/>
      <c r="DM130" s="11"/>
      <c r="DN130" s="11"/>
      <c r="DO130" s="11"/>
      <c r="DP130" s="11"/>
      <c r="DQ130" s="31">
        <v>1</v>
      </c>
      <c r="DR130" s="31" t="s">
        <v>531</v>
      </c>
      <c r="DS130" s="43">
        <v>45778</v>
      </c>
      <c r="DT130" s="32">
        <f t="shared" si="30"/>
        <v>45778</v>
      </c>
      <c r="DU130" s="39">
        <v>46050</v>
      </c>
      <c r="DV130" s="4" t="s">
        <v>404</v>
      </c>
      <c r="DW130" s="4">
        <v>0</v>
      </c>
      <c r="DX130" s="4"/>
      <c r="DY130" s="4"/>
      <c r="DZ130" s="4"/>
      <c r="EA130" s="4"/>
      <c r="EB130" s="4"/>
      <c r="EC130" s="11">
        <v>0</v>
      </c>
      <c r="ED130" s="11"/>
      <c r="EE130" s="11"/>
      <c r="EF130" s="11">
        <v>0</v>
      </c>
      <c r="EG130" s="11"/>
      <c r="EH130" s="11"/>
      <c r="EI130" s="11"/>
      <c r="EJ130" s="26"/>
      <c r="EK130" s="26"/>
      <c r="EL130" s="26"/>
    </row>
    <row r="131" spans="1:142" hidden="1">
      <c r="A131" s="11">
        <v>128</v>
      </c>
      <c r="B131" s="115">
        <v>11794</v>
      </c>
      <c r="C131" s="10" t="s">
        <v>232</v>
      </c>
      <c r="D131" s="10">
        <v>1313088121</v>
      </c>
      <c r="E131" s="12" t="s">
        <v>35</v>
      </c>
      <c r="F131" s="26" t="s">
        <v>171</v>
      </c>
      <c r="G131" s="5" t="s">
        <v>326</v>
      </c>
      <c r="H131" s="10">
        <v>1</v>
      </c>
      <c r="I131" s="4" t="s">
        <v>488</v>
      </c>
      <c r="J131" s="39">
        <v>45466</v>
      </c>
      <c r="K131" s="39">
        <v>45466</v>
      </c>
      <c r="L131" s="32">
        <v>46200</v>
      </c>
      <c r="M131" s="32" t="s">
        <v>405</v>
      </c>
      <c r="N131" s="10">
        <v>1</v>
      </c>
      <c r="O131" s="4" t="s">
        <v>497</v>
      </c>
      <c r="P131" s="32">
        <f t="shared" si="28"/>
        <v>45925</v>
      </c>
      <c r="Q131" s="39">
        <v>45925</v>
      </c>
      <c r="R131" s="32">
        <v>46200</v>
      </c>
      <c r="S131" s="4" t="s">
        <v>404</v>
      </c>
      <c r="T131" s="10">
        <v>1</v>
      </c>
      <c r="U131" s="4" t="s">
        <v>507</v>
      </c>
      <c r="V131" s="32">
        <v>45818</v>
      </c>
      <c r="W131" s="32">
        <v>45818</v>
      </c>
      <c r="X131" s="32">
        <v>46200</v>
      </c>
      <c r="Y131" s="4" t="s">
        <v>404</v>
      </c>
      <c r="Z131" s="11">
        <v>0</v>
      </c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>
        <v>0</v>
      </c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>
        <v>0</v>
      </c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>
        <v>0</v>
      </c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>
        <v>0</v>
      </c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4">
        <v>0</v>
      </c>
      <c r="CP131" s="4"/>
      <c r="CQ131" s="39"/>
      <c r="CR131" s="39"/>
      <c r="CS131" s="39"/>
      <c r="CT131" s="39"/>
      <c r="CU131" s="11">
        <v>0</v>
      </c>
      <c r="CV131" s="11"/>
      <c r="CW131" s="39"/>
      <c r="CX131" s="39"/>
      <c r="CY131" s="33"/>
      <c r="CZ131" s="34"/>
      <c r="DA131" s="31"/>
      <c r="DB131" s="31"/>
      <c r="DC131" s="31"/>
      <c r="DD131" s="31"/>
      <c r="DE131" s="11">
        <v>0</v>
      </c>
      <c r="DF131" s="11"/>
      <c r="DG131" s="11"/>
      <c r="DH131" s="11"/>
      <c r="DI131" s="11"/>
      <c r="DJ131" s="11"/>
      <c r="DK131" s="11">
        <v>0</v>
      </c>
      <c r="DL131" s="11"/>
      <c r="DM131" s="11"/>
      <c r="DN131" s="11"/>
      <c r="DO131" s="11"/>
      <c r="DP131" s="11"/>
      <c r="DQ131" s="31">
        <v>1</v>
      </c>
      <c r="DR131" s="31" t="s">
        <v>532</v>
      </c>
      <c r="DS131" s="43">
        <v>45778</v>
      </c>
      <c r="DT131" s="32">
        <f t="shared" si="30"/>
        <v>45778</v>
      </c>
      <c r="DU131" s="39">
        <v>46050</v>
      </c>
      <c r="DV131" s="4" t="s">
        <v>404</v>
      </c>
      <c r="DW131" s="4">
        <v>0</v>
      </c>
      <c r="DX131" s="4"/>
      <c r="DY131" s="4"/>
      <c r="DZ131" s="4"/>
      <c r="EA131" s="4"/>
      <c r="EB131" s="4"/>
      <c r="EC131" s="11">
        <v>0</v>
      </c>
      <c r="ED131" s="11"/>
      <c r="EE131" s="11"/>
      <c r="EF131" s="4">
        <v>0</v>
      </c>
      <c r="EG131" s="4"/>
      <c r="EH131" s="4"/>
      <c r="EI131" s="4"/>
      <c r="EJ131" s="26"/>
      <c r="EK131" s="26"/>
      <c r="EL131" s="26"/>
    </row>
    <row r="132" spans="1:142" hidden="1">
      <c r="A132" s="11">
        <v>129</v>
      </c>
      <c r="B132" s="117">
        <v>11981</v>
      </c>
      <c r="C132" s="56" t="s">
        <v>330</v>
      </c>
      <c r="D132" s="56">
        <v>1883444587</v>
      </c>
      <c r="E132" s="56" t="s">
        <v>26</v>
      </c>
      <c r="F132" s="26" t="s">
        <v>171</v>
      </c>
      <c r="G132" s="10" t="s">
        <v>125</v>
      </c>
      <c r="H132" s="10">
        <v>1</v>
      </c>
      <c r="I132" s="10" t="s">
        <v>537</v>
      </c>
      <c r="J132" s="39">
        <v>45828</v>
      </c>
      <c r="K132" s="39">
        <v>45828</v>
      </c>
      <c r="L132" s="32">
        <v>46200</v>
      </c>
      <c r="M132" s="32" t="s">
        <v>404</v>
      </c>
      <c r="N132" s="10">
        <v>1</v>
      </c>
      <c r="O132" s="10" t="s">
        <v>558</v>
      </c>
      <c r="P132" s="32">
        <f t="shared" ref="P132" si="60">Q132</f>
        <v>45925</v>
      </c>
      <c r="Q132" s="43">
        <v>45925</v>
      </c>
      <c r="R132" s="32">
        <v>46200</v>
      </c>
      <c r="S132" s="32" t="s">
        <v>404</v>
      </c>
      <c r="T132" s="10">
        <v>1</v>
      </c>
      <c r="U132" s="10" t="s">
        <v>570</v>
      </c>
      <c r="V132" s="32">
        <v>45818</v>
      </c>
      <c r="W132" s="32">
        <v>45818</v>
      </c>
      <c r="X132" s="32">
        <v>46200</v>
      </c>
      <c r="Y132" s="32" t="s">
        <v>404</v>
      </c>
      <c r="Z132" s="11">
        <v>0</v>
      </c>
      <c r="AA132" s="11"/>
      <c r="AB132" s="11"/>
      <c r="AC132" s="11"/>
      <c r="AD132" s="46"/>
      <c r="AE132" s="11"/>
      <c r="AF132" s="11"/>
      <c r="AG132" s="11"/>
      <c r="AH132" s="11"/>
      <c r="AI132" s="11"/>
      <c r="AJ132" s="11"/>
      <c r="AK132" s="11">
        <v>0</v>
      </c>
      <c r="AL132" s="11"/>
      <c r="AM132" s="11"/>
      <c r="AN132" s="11"/>
      <c r="AO132" s="46"/>
      <c r="AP132" s="11"/>
      <c r="AQ132" s="11"/>
      <c r="AR132" s="11"/>
      <c r="AS132" s="11"/>
      <c r="AT132" s="11"/>
      <c r="AU132" s="11"/>
      <c r="AV132" s="11">
        <v>0</v>
      </c>
      <c r="AW132" s="11"/>
      <c r="AX132" s="11"/>
      <c r="AY132" s="11"/>
      <c r="AZ132" s="46"/>
      <c r="BA132" s="11"/>
      <c r="BB132" s="11"/>
      <c r="BC132" s="11"/>
      <c r="BD132" s="11"/>
      <c r="BE132" s="11"/>
      <c r="BF132" s="11"/>
      <c r="BG132" s="11">
        <v>0</v>
      </c>
      <c r="BH132" s="11"/>
      <c r="BI132" s="11"/>
      <c r="BJ132" s="11"/>
      <c r="BK132" s="46"/>
      <c r="BL132" s="46"/>
      <c r="BM132" s="46"/>
      <c r="BN132" s="46"/>
      <c r="BO132" s="46"/>
      <c r="BP132" s="46"/>
      <c r="BQ132" s="46"/>
      <c r="BR132" s="46">
        <v>0</v>
      </c>
      <c r="BS132" s="46"/>
      <c r="BT132" s="46"/>
      <c r="BU132" s="46"/>
      <c r="BV132" s="46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4">
        <v>0</v>
      </c>
      <c r="CJ132" s="4"/>
      <c r="CK132" s="4"/>
      <c r="CL132" s="4"/>
      <c r="CM132" s="4"/>
      <c r="CN132" s="4"/>
      <c r="CO132" s="4">
        <v>1</v>
      </c>
      <c r="CP132" s="4" t="s">
        <v>600</v>
      </c>
      <c r="CQ132" s="39">
        <v>45818</v>
      </c>
      <c r="CR132" s="39">
        <v>45818</v>
      </c>
      <c r="CS132" s="32">
        <v>46200</v>
      </c>
      <c r="CT132" s="32" t="s">
        <v>404</v>
      </c>
      <c r="CU132" s="4">
        <v>1</v>
      </c>
      <c r="CV132" s="4" t="s">
        <v>606</v>
      </c>
      <c r="CW132" s="39">
        <v>45792</v>
      </c>
      <c r="CX132" s="39">
        <v>45792</v>
      </c>
      <c r="CY132" s="33">
        <v>45658</v>
      </c>
      <c r="CZ132" s="34">
        <v>46388</v>
      </c>
      <c r="DA132" s="31" t="s">
        <v>166</v>
      </c>
      <c r="DB132" s="31" t="s">
        <v>167</v>
      </c>
      <c r="DC132" s="32">
        <v>46200</v>
      </c>
      <c r="DD132" s="32" t="s">
        <v>404</v>
      </c>
      <c r="DE132" s="11">
        <v>0</v>
      </c>
      <c r="DF132" s="11"/>
      <c r="DG132" s="11"/>
      <c r="DH132" s="11"/>
      <c r="DI132" s="11"/>
      <c r="DJ132" s="11"/>
      <c r="DK132" s="11">
        <v>0</v>
      </c>
      <c r="DL132" s="11"/>
      <c r="DM132" s="11"/>
      <c r="DN132" s="11"/>
      <c r="DO132" s="11"/>
      <c r="DP132" s="11"/>
      <c r="DQ132" s="31">
        <v>1</v>
      </c>
      <c r="DR132" s="31" t="s">
        <v>611</v>
      </c>
      <c r="DS132" s="43">
        <v>45731</v>
      </c>
      <c r="DT132" s="32">
        <f t="shared" ref="DT132" si="61">DS132</f>
        <v>45731</v>
      </c>
      <c r="DU132" s="32">
        <v>46051</v>
      </c>
      <c r="DV132" s="32" t="s">
        <v>404</v>
      </c>
      <c r="DW132" s="4">
        <v>0</v>
      </c>
      <c r="DX132" s="4"/>
      <c r="DY132" s="4"/>
      <c r="DZ132" s="4"/>
      <c r="EA132" s="4"/>
      <c r="EB132" s="4"/>
      <c r="EC132" s="11">
        <v>0</v>
      </c>
      <c r="ED132" s="11"/>
      <c r="EE132" s="11"/>
      <c r="EF132" s="11">
        <v>0</v>
      </c>
      <c r="EG132" s="11"/>
      <c r="EH132" s="11"/>
      <c r="EI132" s="11"/>
      <c r="EJ132" s="26"/>
      <c r="EK132" s="26"/>
      <c r="EL132" s="26"/>
    </row>
    <row r="133" spans="1:142" hidden="1">
      <c r="A133" s="11">
        <v>130</v>
      </c>
      <c r="B133" s="117">
        <v>8363</v>
      </c>
      <c r="C133" s="56" t="s">
        <v>390</v>
      </c>
      <c r="D133" s="56">
        <v>1313088496</v>
      </c>
      <c r="E133" s="84" t="s">
        <v>41</v>
      </c>
      <c r="F133" s="26" t="s">
        <v>171</v>
      </c>
      <c r="G133" s="10" t="s">
        <v>125</v>
      </c>
      <c r="H133" s="10">
        <v>1</v>
      </c>
      <c r="I133" s="10" t="s">
        <v>547</v>
      </c>
      <c r="J133" s="39">
        <v>45828</v>
      </c>
      <c r="K133" s="39">
        <v>45828</v>
      </c>
      <c r="L133" s="32">
        <v>46200</v>
      </c>
      <c r="M133" s="32" t="s">
        <v>404</v>
      </c>
      <c r="N133" s="10">
        <v>1</v>
      </c>
      <c r="O133" s="10" t="s">
        <v>559</v>
      </c>
      <c r="P133" s="32">
        <f t="shared" ref="P133" si="62">Q133</f>
        <v>45925</v>
      </c>
      <c r="Q133" s="43">
        <v>45925</v>
      </c>
      <c r="R133" s="32">
        <v>46200</v>
      </c>
      <c r="S133" s="32" t="s">
        <v>404</v>
      </c>
      <c r="T133" s="10">
        <v>1</v>
      </c>
      <c r="U133" s="10" t="s">
        <v>571</v>
      </c>
      <c r="V133" s="32">
        <v>45818</v>
      </c>
      <c r="W133" s="32">
        <v>45818</v>
      </c>
      <c r="X133" s="32">
        <v>46200</v>
      </c>
      <c r="Y133" s="32" t="s">
        <v>404</v>
      </c>
      <c r="Z133" s="11">
        <v>0</v>
      </c>
      <c r="AA133" s="11"/>
      <c r="AB133" s="11"/>
      <c r="AC133" s="11"/>
      <c r="AD133" s="46"/>
      <c r="AE133" s="11"/>
      <c r="AF133" s="11"/>
      <c r="AG133" s="11"/>
      <c r="AH133" s="11"/>
      <c r="AI133" s="11"/>
      <c r="AJ133" s="11"/>
      <c r="AK133" s="11">
        <v>0</v>
      </c>
      <c r="AL133" s="11"/>
      <c r="AM133" s="11"/>
      <c r="AN133" s="11"/>
      <c r="AO133" s="46"/>
      <c r="AP133" s="11"/>
      <c r="AQ133" s="11"/>
      <c r="AR133" s="11"/>
      <c r="AS133" s="11"/>
      <c r="AT133" s="11"/>
      <c r="AU133" s="11"/>
      <c r="AV133" s="11">
        <v>0</v>
      </c>
      <c r="AW133" s="11"/>
      <c r="AX133" s="11"/>
      <c r="AY133" s="11"/>
      <c r="AZ133" s="46"/>
      <c r="BA133" s="11"/>
      <c r="BB133" s="11"/>
      <c r="BC133" s="11"/>
      <c r="BD133" s="11"/>
      <c r="BE133" s="11"/>
      <c r="BF133" s="11"/>
      <c r="BG133" s="11">
        <v>0</v>
      </c>
      <c r="BH133" s="11"/>
      <c r="BI133" s="11"/>
      <c r="BJ133" s="11"/>
      <c r="BK133" s="46"/>
      <c r="BL133" s="46"/>
      <c r="BM133" s="46"/>
      <c r="BN133" s="46"/>
      <c r="BO133" s="46"/>
      <c r="BP133" s="46"/>
      <c r="BQ133" s="46"/>
      <c r="BR133" s="46">
        <v>0</v>
      </c>
      <c r="BS133" s="46"/>
      <c r="BT133" s="46"/>
      <c r="BU133" s="46"/>
      <c r="BV133" s="46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4">
        <v>0</v>
      </c>
      <c r="CJ133" s="4"/>
      <c r="CK133" s="4"/>
      <c r="CL133" s="4"/>
      <c r="CM133" s="4"/>
      <c r="CN133" s="4"/>
      <c r="CO133" s="4">
        <v>1</v>
      </c>
      <c r="CP133" s="4" t="s">
        <v>601</v>
      </c>
      <c r="CQ133" s="39">
        <v>45818</v>
      </c>
      <c r="CR133" s="39">
        <v>45818</v>
      </c>
      <c r="CS133" s="32">
        <v>46200</v>
      </c>
      <c r="CT133" s="32" t="s">
        <v>404</v>
      </c>
      <c r="CU133" s="4">
        <v>1</v>
      </c>
      <c r="CV133" s="4" t="s">
        <v>607</v>
      </c>
      <c r="CW133" s="39">
        <v>45792</v>
      </c>
      <c r="CX133" s="39">
        <v>45792</v>
      </c>
      <c r="CY133" s="33">
        <v>45658</v>
      </c>
      <c r="CZ133" s="34">
        <v>46388</v>
      </c>
      <c r="DA133" s="31" t="s">
        <v>166</v>
      </c>
      <c r="DB133" s="31" t="s">
        <v>167</v>
      </c>
      <c r="DC133" s="32">
        <v>46200</v>
      </c>
      <c r="DD133" s="32" t="s">
        <v>404</v>
      </c>
      <c r="DE133" s="11">
        <v>0</v>
      </c>
      <c r="DF133" s="11"/>
      <c r="DG133" s="11"/>
      <c r="DH133" s="11"/>
      <c r="DI133" s="11"/>
      <c r="DJ133" s="11"/>
      <c r="DK133" s="11">
        <v>0</v>
      </c>
      <c r="DL133" s="11"/>
      <c r="DM133" s="11"/>
      <c r="DN133" s="11"/>
      <c r="DO133" s="11"/>
      <c r="DP133" s="11"/>
      <c r="DQ133" s="31">
        <v>1</v>
      </c>
      <c r="DR133" s="31" t="s">
        <v>621</v>
      </c>
      <c r="DS133" s="43">
        <v>45731</v>
      </c>
      <c r="DT133" s="32">
        <f t="shared" ref="DT133" si="63">DS133</f>
        <v>45731</v>
      </c>
      <c r="DU133" s="32">
        <v>46051</v>
      </c>
      <c r="DV133" s="32" t="s">
        <v>404</v>
      </c>
      <c r="DW133" s="4">
        <v>0</v>
      </c>
      <c r="DX133" s="4"/>
      <c r="DY133" s="4"/>
      <c r="DZ133" s="4"/>
      <c r="EA133" s="4"/>
      <c r="EB133" s="4"/>
      <c r="EC133" s="11">
        <v>0</v>
      </c>
      <c r="ED133" s="11"/>
      <c r="EE133" s="11"/>
      <c r="EF133" s="11">
        <v>0</v>
      </c>
      <c r="EG133" s="11"/>
      <c r="EH133" s="11"/>
      <c r="EI133" s="11"/>
      <c r="EJ133" s="26"/>
      <c r="EK133" s="26"/>
      <c r="EL133" s="26"/>
    </row>
    <row r="134" spans="1:142">
      <c r="C134" s="97"/>
      <c r="D134" s="97"/>
    </row>
  </sheetData>
  <autoFilter ref="A3:EL133" xr:uid="{7F5FFEBB-9303-4DC5-9DD4-B4909DE2895A}">
    <filterColumn colId="6">
      <filters>
        <filter val="CMM"/>
      </filters>
    </filterColumn>
  </autoFilter>
  <mergeCells count="1">
    <mergeCell ref="A2:EI2"/>
  </mergeCells>
  <conditionalFormatting sqref="B4">
    <cfRule type="duplicateValues" dxfId="1023" priority="4184"/>
    <cfRule type="duplicateValues" dxfId="1022" priority="4185"/>
    <cfRule type="duplicateValues" dxfId="1021" priority="4186"/>
    <cfRule type="duplicateValues" dxfId="1020" priority="4187"/>
    <cfRule type="duplicateValues" dxfId="1019" priority="4188"/>
    <cfRule type="duplicateValues" dxfId="1018" priority="4189"/>
    <cfRule type="duplicateValues" dxfId="1017" priority="4190"/>
    <cfRule type="duplicateValues" dxfId="1016" priority="4191"/>
    <cfRule type="duplicateValues" dxfId="1015" priority="4192"/>
    <cfRule type="duplicateValues" dxfId="1014" priority="4193"/>
    <cfRule type="duplicateValues" dxfId="1013" priority="4194"/>
  </conditionalFormatting>
  <conditionalFormatting sqref="B4:B5">
    <cfRule type="duplicateValues" dxfId="1012" priority="4195"/>
    <cfRule type="duplicateValues" dxfId="1011" priority="4196"/>
    <cfRule type="duplicateValues" dxfId="1010" priority="4197"/>
    <cfRule type="duplicateValues" dxfId="1009" priority="4198"/>
    <cfRule type="duplicateValues" dxfId="1008" priority="4199"/>
    <cfRule type="duplicateValues" dxfId="1007" priority="4200"/>
    <cfRule type="duplicateValues" dxfId="1006" priority="4201"/>
    <cfRule type="duplicateValues" dxfId="1005" priority="4202"/>
    <cfRule type="duplicateValues" dxfId="1004" priority="4203"/>
    <cfRule type="duplicateValues" dxfId="1003" priority="4204"/>
    <cfRule type="duplicateValues" dxfId="1002" priority="4205"/>
    <cfRule type="duplicateValues" dxfId="1001" priority="4206"/>
    <cfRule type="duplicateValues" dxfId="1000" priority="4207"/>
    <cfRule type="duplicateValues" dxfId="999" priority="4208"/>
    <cfRule type="duplicateValues" dxfId="998" priority="4209"/>
    <cfRule type="duplicateValues" dxfId="997" priority="4210"/>
    <cfRule type="duplicateValues" dxfId="996" priority="4211"/>
    <cfRule type="duplicateValues" dxfId="995" priority="4212"/>
    <cfRule type="duplicateValues" dxfId="994" priority="4213"/>
    <cfRule type="duplicateValues" dxfId="993" priority="4214"/>
    <cfRule type="duplicateValues" dxfId="992" priority="4215"/>
    <cfRule type="duplicateValues" dxfId="991" priority="4216"/>
    <cfRule type="duplicateValues" dxfId="990" priority="4217"/>
  </conditionalFormatting>
  <conditionalFormatting sqref="B4:B16">
    <cfRule type="duplicateValues" dxfId="989" priority="4218"/>
  </conditionalFormatting>
  <conditionalFormatting sqref="B5">
    <cfRule type="duplicateValues" dxfId="988" priority="4219"/>
    <cfRule type="duplicateValues" dxfId="987" priority="4220"/>
    <cfRule type="duplicateValues" dxfId="986" priority="4221"/>
    <cfRule type="duplicateValues" dxfId="985" priority="4222"/>
    <cfRule type="duplicateValues" dxfId="984" priority="4223"/>
    <cfRule type="duplicateValues" dxfId="983" priority="4224"/>
    <cfRule type="duplicateValues" dxfId="982" priority="4225"/>
    <cfRule type="duplicateValues" dxfId="981" priority="4226"/>
  </conditionalFormatting>
  <conditionalFormatting sqref="B6">
    <cfRule type="duplicateValues" dxfId="980" priority="4227"/>
    <cfRule type="duplicateValues" dxfId="979" priority="4228"/>
    <cfRule type="duplicateValues" dxfId="978" priority="4229"/>
    <cfRule type="duplicateValues" dxfId="977" priority="4230"/>
    <cfRule type="duplicateValues" dxfId="976" priority="4231"/>
    <cfRule type="duplicateValues" dxfId="975" priority="4232"/>
  </conditionalFormatting>
  <conditionalFormatting sqref="B7">
    <cfRule type="duplicateValues" dxfId="974" priority="4233"/>
    <cfRule type="duplicateValues" dxfId="973" priority="4234"/>
  </conditionalFormatting>
  <conditionalFormatting sqref="B8">
    <cfRule type="duplicateValues" dxfId="972" priority="4235"/>
    <cfRule type="duplicateValues" dxfId="971" priority="4236"/>
  </conditionalFormatting>
  <conditionalFormatting sqref="B10">
    <cfRule type="duplicateValues" dxfId="970" priority="4237"/>
    <cfRule type="duplicateValues" dxfId="969" priority="4238"/>
  </conditionalFormatting>
  <conditionalFormatting sqref="B12 B7:B9 B4:B5">
    <cfRule type="duplicateValues" dxfId="968" priority="4239"/>
  </conditionalFormatting>
  <conditionalFormatting sqref="B12">
    <cfRule type="duplicateValues" dxfId="967" priority="4242"/>
    <cfRule type="duplicateValues" dxfId="966" priority="4243"/>
  </conditionalFormatting>
  <conditionalFormatting sqref="B17">
    <cfRule type="duplicateValues" dxfId="965" priority="4244"/>
    <cfRule type="duplicateValues" dxfId="964" priority="4245"/>
    <cfRule type="duplicateValues" dxfId="963" priority="4246"/>
    <cfRule type="duplicateValues" dxfId="962" priority="4247"/>
    <cfRule type="duplicateValues" dxfId="961" priority="4248"/>
    <cfRule type="duplicateValues" dxfId="960" priority="4249"/>
    <cfRule type="duplicateValues" dxfId="959" priority="4250"/>
    <cfRule type="duplicateValues" dxfId="958" priority="4251"/>
    <cfRule type="duplicateValues" dxfId="957" priority="4252"/>
    <cfRule type="duplicateValues" dxfId="956" priority="4253"/>
    <cfRule type="duplicateValues" dxfId="955" priority="4254"/>
    <cfRule type="duplicateValues" dxfId="954" priority="4255"/>
  </conditionalFormatting>
  <conditionalFormatting sqref="B17:B18">
    <cfRule type="duplicateValues" dxfId="953" priority="4256"/>
    <cfRule type="duplicateValues" dxfId="952" priority="4257"/>
    <cfRule type="duplicateValues" dxfId="951" priority="4258"/>
    <cfRule type="duplicateValues" dxfId="950" priority="4259"/>
  </conditionalFormatting>
  <conditionalFormatting sqref="B18">
    <cfRule type="duplicateValues" dxfId="949" priority="4260"/>
    <cfRule type="duplicateValues" dxfId="948" priority="4261"/>
    <cfRule type="duplicateValues" dxfId="947" priority="4262"/>
    <cfRule type="duplicateValues" dxfId="946" priority="4263"/>
    <cfRule type="duplicateValues" dxfId="945" priority="4264"/>
    <cfRule type="duplicateValues" dxfId="944" priority="4265"/>
    <cfRule type="duplicateValues" dxfId="943" priority="4266"/>
    <cfRule type="duplicateValues" dxfId="942" priority="4267"/>
    <cfRule type="duplicateValues" dxfId="941" priority="4268"/>
    <cfRule type="duplicateValues" dxfId="940" priority="4269"/>
  </conditionalFormatting>
  <conditionalFormatting sqref="B19">
    <cfRule type="duplicateValues" dxfId="939" priority="4270"/>
    <cfRule type="duplicateValues" dxfId="938" priority="4271"/>
  </conditionalFormatting>
  <conditionalFormatting sqref="B21">
    <cfRule type="duplicateValues" dxfId="937" priority="4272"/>
    <cfRule type="duplicateValues" dxfId="936" priority="4273"/>
    <cfRule type="duplicateValues" dxfId="935" priority="4274"/>
  </conditionalFormatting>
  <conditionalFormatting sqref="B22">
    <cfRule type="duplicateValues" dxfId="934" priority="4275"/>
    <cfRule type="duplicateValues" dxfId="933" priority="4276"/>
    <cfRule type="duplicateValues" dxfId="932" priority="4277"/>
  </conditionalFormatting>
  <conditionalFormatting sqref="B24:B25 B20 B17:B18">
    <cfRule type="duplicateValues" dxfId="931" priority="4278"/>
  </conditionalFormatting>
  <conditionalFormatting sqref="B24:B25 B20">
    <cfRule type="duplicateValues" dxfId="930" priority="4281"/>
    <cfRule type="duplicateValues" dxfId="929" priority="4282"/>
  </conditionalFormatting>
  <conditionalFormatting sqref="B32">
    <cfRule type="duplicateValues" dxfId="928" priority="228"/>
    <cfRule type="duplicateValues" dxfId="927" priority="229"/>
    <cfRule type="duplicateValues" dxfId="926" priority="245"/>
    <cfRule type="duplicateValues" dxfId="925" priority="246"/>
  </conditionalFormatting>
  <conditionalFormatting sqref="B32:B33">
    <cfRule type="duplicateValues" dxfId="924" priority="231"/>
    <cfRule type="duplicateValues" dxfId="923" priority="247"/>
    <cfRule type="duplicateValues" dxfId="922" priority="248"/>
    <cfRule type="duplicateValues" dxfId="921" priority="249"/>
    <cfRule type="duplicateValues" dxfId="920" priority="250"/>
  </conditionalFormatting>
  <conditionalFormatting sqref="B32:B34">
    <cfRule type="duplicateValues" dxfId="919" priority="230"/>
  </conditionalFormatting>
  <conditionalFormatting sqref="B32:B35">
    <cfRule type="duplicateValues" dxfId="918" priority="236"/>
    <cfRule type="duplicateValues" dxfId="917" priority="237"/>
    <cfRule type="duplicateValues" dxfId="916" priority="238"/>
    <cfRule type="duplicateValues" dxfId="915" priority="239"/>
    <cfRule type="duplicateValues" dxfId="914" priority="240"/>
    <cfRule type="duplicateValues" dxfId="913" priority="241"/>
    <cfRule type="duplicateValues" dxfId="912" priority="242"/>
    <cfRule type="duplicateValues" dxfId="911" priority="243"/>
  </conditionalFormatting>
  <conditionalFormatting sqref="B32:B36">
    <cfRule type="duplicateValues" dxfId="910" priority="244"/>
  </conditionalFormatting>
  <conditionalFormatting sqref="B32:B50">
    <cfRule type="duplicateValues" dxfId="909" priority="26"/>
  </conditionalFormatting>
  <conditionalFormatting sqref="B33">
    <cfRule type="duplicateValues" dxfId="908" priority="224"/>
    <cfRule type="duplicateValues" dxfId="907" priority="225"/>
    <cfRule type="duplicateValues" dxfId="906" priority="226"/>
    <cfRule type="duplicateValues" dxfId="905" priority="227"/>
    <cfRule type="duplicateValues" dxfId="904" priority="232"/>
    <cfRule type="duplicateValues" dxfId="903" priority="233"/>
    <cfRule type="duplicateValues" dxfId="902" priority="234"/>
    <cfRule type="duplicateValues" dxfId="901" priority="235"/>
  </conditionalFormatting>
  <conditionalFormatting sqref="B34">
    <cfRule type="duplicateValues" dxfId="900" priority="214"/>
    <cfRule type="duplicateValues" dxfId="899" priority="215"/>
  </conditionalFormatting>
  <conditionalFormatting sqref="B34:B35">
    <cfRule type="duplicateValues" dxfId="898" priority="216"/>
    <cfRule type="duplicateValues" dxfId="897" priority="217"/>
    <cfRule type="duplicateValues" dxfId="896" priority="218"/>
    <cfRule type="duplicateValues" dxfId="895" priority="219"/>
  </conditionalFormatting>
  <conditionalFormatting sqref="B35 B32:B33">
    <cfRule type="duplicateValues" dxfId="894" priority="220"/>
    <cfRule type="duplicateValues" dxfId="893" priority="221"/>
    <cfRule type="duplicateValues" dxfId="892" priority="222"/>
    <cfRule type="duplicateValues" dxfId="891" priority="223"/>
  </conditionalFormatting>
  <conditionalFormatting sqref="B35">
    <cfRule type="duplicateValues" dxfId="890" priority="209"/>
    <cfRule type="duplicateValues" dxfId="889" priority="210"/>
    <cfRule type="duplicateValues" dxfId="888" priority="211"/>
    <cfRule type="duplicateValues" dxfId="887" priority="212"/>
    <cfRule type="duplicateValues" dxfId="886" priority="213"/>
  </conditionalFormatting>
  <conditionalFormatting sqref="B36">
    <cfRule type="duplicateValues" dxfId="885" priority="205"/>
    <cfRule type="duplicateValues" dxfId="884" priority="206"/>
    <cfRule type="duplicateValues" dxfId="883" priority="207"/>
    <cfRule type="duplicateValues" dxfId="882" priority="208"/>
  </conditionalFormatting>
  <conditionalFormatting sqref="B37">
    <cfRule type="duplicateValues" dxfId="881" priority="202"/>
    <cfRule type="duplicateValues" dxfId="880" priority="204"/>
  </conditionalFormatting>
  <conditionalFormatting sqref="B39">
    <cfRule type="duplicateValues" dxfId="879" priority="198"/>
    <cfRule type="duplicateValues" dxfId="878" priority="199"/>
    <cfRule type="duplicateValues" dxfId="877" priority="200"/>
  </conditionalFormatting>
  <conditionalFormatting sqref="B40">
    <cfRule type="duplicateValues" dxfId="876" priority="61"/>
  </conditionalFormatting>
  <conditionalFormatting sqref="B41">
    <cfRule type="duplicateValues" dxfId="875" priority="50"/>
    <cfRule type="duplicateValues" dxfId="874" priority="51"/>
    <cfRule type="duplicateValues" dxfId="873" priority="52"/>
    <cfRule type="duplicateValues" dxfId="872" priority="53"/>
    <cfRule type="duplicateValues" dxfId="871" priority="54"/>
    <cfRule type="duplicateValues" dxfId="870" priority="55"/>
    <cfRule type="duplicateValues" dxfId="869" priority="57"/>
  </conditionalFormatting>
  <conditionalFormatting sqref="B42:B45 B47:B50 B32:B39">
    <cfRule type="duplicateValues" dxfId="868" priority="67"/>
  </conditionalFormatting>
  <conditionalFormatting sqref="B45">
    <cfRule type="duplicateValues" dxfId="867" priority="193"/>
    <cfRule type="duplicateValues" dxfId="866" priority="194"/>
    <cfRule type="duplicateValues" dxfId="865" priority="195"/>
  </conditionalFormatting>
  <conditionalFormatting sqref="B46">
    <cfRule type="duplicateValues" dxfId="864" priority="27"/>
    <cfRule type="duplicateValues" dxfId="863" priority="28"/>
    <cfRule type="duplicateValues" dxfId="862" priority="29"/>
    <cfRule type="duplicateValues" dxfId="861" priority="30"/>
    <cfRule type="duplicateValues" dxfId="860" priority="31"/>
    <cfRule type="duplicateValues" dxfId="859" priority="32"/>
  </conditionalFormatting>
  <conditionalFormatting sqref="B51">
    <cfRule type="duplicateValues" dxfId="858" priority="7"/>
    <cfRule type="duplicateValues" dxfId="857" priority="8"/>
    <cfRule type="duplicateValues" dxfId="856" priority="9"/>
    <cfRule type="duplicateValues" dxfId="855" priority="10"/>
    <cfRule type="duplicateValues" dxfId="854" priority="11"/>
    <cfRule type="duplicateValues" dxfId="853" priority="12"/>
    <cfRule type="duplicateValues" dxfId="852" priority="13"/>
    <cfRule type="duplicateValues" dxfId="851" priority="14"/>
    <cfRule type="duplicateValues" dxfId="850" priority="15"/>
    <cfRule type="duplicateValues" dxfId="849" priority="16"/>
  </conditionalFormatting>
  <conditionalFormatting sqref="B52">
    <cfRule type="duplicateValues" dxfId="848" priority="4371"/>
    <cfRule type="duplicateValues" dxfId="847" priority="4372"/>
    <cfRule type="duplicateValues" dxfId="846" priority="4373"/>
  </conditionalFormatting>
  <conditionalFormatting sqref="B53">
    <cfRule type="duplicateValues" dxfId="845" priority="891"/>
    <cfRule type="duplicateValues" dxfId="844" priority="892"/>
  </conditionalFormatting>
  <conditionalFormatting sqref="B54">
    <cfRule type="duplicateValues" dxfId="843" priority="889"/>
    <cfRule type="duplicateValues" dxfId="842" priority="890"/>
  </conditionalFormatting>
  <conditionalFormatting sqref="B55">
    <cfRule type="duplicateValues" dxfId="841" priority="888"/>
  </conditionalFormatting>
  <conditionalFormatting sqref="B64 B56:B57 B53:B54">
    <cfRule type="duplicateValues" dxfId="840" priority="893"/>
  </conditionalFormatting>
  <conditionalFormatting sqref="B64 B56:B57">
    <cfRule type="duplicateValues" dxfId="839" priority="885"/>
    <cfRule type="duplicateValues" dxfId="838" priority="886"/>
  </conditionalFormatting>
  <conditionalFormatting sqref="B65">
    <cfRule type="duplicateValues" dxfId="837" priority="514"/>
  </conditionalFormatting>
  <conditionalFormatting sqref="B70:B71">
    <cfRule type="duplicateValues" dxfId="836" priority="698"/>
    <cfRule type="duplicateValues" dxfId="835" priority="699"/>
    <cfRule type="duplicateValues" dxfId="834" priority="700"/>
  </conditionalFormatting>
  <conditionalFormatting sqref="B73">
    <cfRule type="duplicateValues" dxfId="833" priority="4407"/>
    <cfRule type="duplicateValues" dxfId="832" priority="4408"/>
    <cfRule type="duplicateValues" dxfId="831" priority="4409"/>
    <cfRule type="duplicateValues" dxfId="830" priority="4410"/>
    <cfRule type="duplicateValues" dxfId="829" priority="4411"/>
  </conditionalFormatting>
  <conditionalFormatting sqref="B74">
    <cfRule type="duplicateValues" dxfId="828" priority="4412"/>
    <cfRule type="duplicateValues" dxfId="827" priority="4413"/>
  </conditionalFormatting>
  <conditionalFormatting sqref="B79 B77 B73">
    <cfRule type="duplicateValues" dxfId="826" priority="4414"/>
  </conditionalFormatting>
  <conditionalFormatting sqref="B79 B77">
    <cfRule type="duplicateValues" dxfId="825" priority="4417"/>
    <cfRule type="duplicateValues" dxfId="824" priority="4418"/>
  </conditionalFormatting>
  <conditionalFormatting sqref="B89:B102">
    <cfRule type="duplicateValues" dxfId="823" priority="4427"/>
  </conditionalFormatting>
  <conditionalFormatting sqref="B103:B108 B110:B111">
    <cfRule type="duplicateValues" dxfId="822" priority="4422"/>
  </conditionalFormatting>
  <conditionalFormatting sqref="B109">
    <cfRule type="duplicateValues" dxfId="821" priority="511"/>
  </conditionalFormatting>
  <conditionalFormatting sqref="B113:B121">
    <cfRule type="duplicateValues" dxfId="820" priority="4436"/>
  </conditionalFormatting>
  <conditionalFormatting sqref="B122:B126">
    <cfRule type="duplicateValues" dxfId="819" priority="4424"/>
  </conditionalFormatting>
  <conditionalFormatting sqref="B131">
    <cfRule type="duplicateValues" dxfId="818" priority="4425"/>
  </conditionalFormatting>
  <conditionalFormatting sqref="C4:C16">
    <cfRule type="duplicateValues" dxfId="817" priority="4073"/>
  </conditionalFormatting>
  <conditionalFormatting sqref="C13">
    <cfRule type="duplicateValues" dxfId="816" priority="1463"/>
  </conditionalFormatting>
  <conditionalFormatting sqref="C19">
    <cfRule type="duplicateValues" dxfId="815" priority="1370"/>
  </conditionalFormatting>
  <conditionalFormatting sqref="C22">
    <cfRule type="duplicateValues" dxfId="814" priority="1359"/>
  </conditionalFormatting>
  <conditionalFormatting sqref="C23:C26 C20">
    <cfRule type="duplicateValues" dxfId="813" priority="1366"/>
  </conditionalFormatting>
  <conditionalFormatting sqref="C27">
    <cfRule type="duplicateValues" dxfId="812" priority="1358"/>
  </conditionalFormatting>
  <conditionalFormatting sqref="C28">
    <cfRule type="duplicateValues" dxfId="811" priority="1357"/>
  </conditionalFormatting>
  <conditionalFormatting sqref="C37">
    <cfRule type="duplicateValues" dxfId="810" priority="203"/>
  </conditionalFormatting>
  <conditionalFormatting sqref="C39">
    <cfRule type="duplicateValues" dxfId="809" priority="201"/>
  </conditionalFormatting>
  <conditionalFormatting sqref="C40">
    <cfRule type="duplicateValues" dxfId="808" priority="62"/>
  </conditionalFormatting>
  <conditionalFormatting sqref="C41">
    <cfRule type="duplicateValues" dxfId="807" priority="56"/>
  </conditionalFormatting>
  <conditionalFormatting sqref="C43">
    <cfRule type="duplicateValues" dxfId="806" priority="197"/>
  </conditionalFormatting>
  <conditionalFormatting sqref="C44">
    <cfRule type="duplicateValues" dxfId="805" priority="257"/>
  </conditionalFormatting>
  <conditionalFormatting sqref="C45">
    <cfRule type="duplicateValues" dxfId="804" priority="196"/>
  </conditionalFormatting>
  <conditionalFormatting sqref="C52">
    <cfRule type="duplicateValues" dxfId="803" priority="897"/>
  </conditionalFormatting>
  <conditionalFormatting sqref="C55">
    <cfRule type="duplicateValues" dxfId="802" priority="887"/>
  </conditionalFormatting>
  <conditionalFormatting sqref="C60">
    <cfRule type="duplicateValues" dxfId="801" priority="884"/>
  </conditionalFormatting>
  <conditionalFormatting sqref="C66">
    <cfRule type="duplicateValues" dxfId="800" priority="879"/>
  </conditionalFormatting>
  <conditionalFormatting sqref="C67">
    <cfRule type="duplicateValues" dxfId="799" priority="878"/>
  </conditionalFormatting>
  <conditionalFormatting sqref="C68 C61:C64 C56:C58">
    <cfRule type="duplicateValues" dxfId="798" priority="900"/>
  </conditionalFormatting>
  <conditionalFormatting sqref="C70:C71">
    <cfRule type="duplicateValues" dxfId="797" priority="702"/>
  </conditionalFormatting>
  <conditionalFormatting sqref="C74">
    <cfRule type="duplicateValues" dxfId="796" priority="636"/>
  </conditionalFormatting>
  <conditionalFormatting sqref="C79:C80 C76:C77">
    <cfRule type="duplicateValues" dxfId="795" priority="688"/>
  </conditionalFormatting>
  <conditionalFormatting sqref="C81">
    <cfRule type="duplicateValues" dxfId="794" priority="678"/>
  </conditionalFormatting>
  <conditionalFormatting sqref="C83">
    <cfRule type="duplicateValues" dxfId="793" priority="635"/>
  </conditionalFormatting>
  <conditionalFormatting sqref="D4">
    <cfRule type="duplicateValues" dxfId="792" priority="1447"/>
    <cfRule type="duplicateValues" dxfId="791" priority="1448"/>
    <cfRule type="duplicateValues" dxfId="790" priority="1449"/>
    <cfRule type="duplicateValues" dxfId="789" priority="1450"/>
    <cfRule type="duplicateValues" dxfId="788" priority="1451"/>
    <cfRule type="duplicateValues" dxfId="787" priority="1452"/>
    <cfRule type="duplicateValues" dxfId="786" priority="1453"/>
    <cfRule type="duplicateValues" dxfId="785" priority="1454"/>
    <cfRule type="duplicateValues" dxfId="784" priority="1455"/>
    <cfRule type="duplicateValues" dxfId="783" priority="1456"/>
  </conditionalFormatting>
  <conditionalFormatting sqref="D4:D16">
    <cfRule type="duplicateValues" dxfId="782" priority="4074"/>
  </conditionalFormatting>
  <conditionalFormatting sqref="D5">
    <cfRule type="duplicateValues" dxfId="781" priority="1444"/>
  </conditionalFormatting>
  <conditionalFormatting sqref="D5:D6">
    <cfRule type="duplicateValues" dxfId="780" priority="1445"/>
  </conditionalFormatting>
  <conditionalFormatting sqref="D6">
    <cfRule type="duplicateValues" dxfId="779" priority="1443"/>
  </conditionalFormatting>
  <conditionalFormatting sqref="D7">
    <cfRule type="duplicateValues" dxfId="778" priority="1441"/>
  </conditionalFormatting>
  <conditionalFormatting sqref="D8">
    <cfRule type="duplicateValues" dxfId="777" priority="1440"/>
  </conditionalFormatting>
  <conditionalFormatting sqref="D10">
    <cfRule type="duplicateValues" dxfId="776" priority="1437"/>
    <cfRule type="duplicateValues" dxfId="775" priority="1438"/>
    <cfRule type="duplicateValues" dxfId="774" priority="1439"/>
  </conditionalFormatting>
  <conditionalFormatting sqref="D11 D7:D9">
    <cfRule type="duplicateValues" dxfId="773" priority="1442"/>
  </conditionalFormatting>
  <conditionalFormatting sqref="D11">
    <cfRule type="duplicateValues" dxfId="772" priority="1428"/>
    <cfRule type="duplicateValues" dxfId="771" priority="1429"/>
    <cfRule type="duplicateValues" dxfId="770" priority="1430"/>
    <cfRule type="duplicateValues" dxfId="769" priority="1431"/>
    <cfRule type="duplicateValues" dxfId="768" priority="1432"/>
    <cfRule type="duplicateValues" dxfId="767" priority="1433"/>
    <cfRule type="duplicateValues" dxfId="766" priority="1434"/>
    <cfRule type="duplicateValues" dxfId="765" priority="1435"/>
    <cfRule type="duplicateValues" dxfId="764" priority="1436"/>
  </conditionalFormatting>
  <conditionalFormatting sqref="D11:D12 D4:D9">
    <cfRule type="duplicateValues" dxfId="763" priority="1457"/>
    <cfRule type="duplicateValues" dxfId="762" priority="1458"/>
    <cfRule type="duplicateValues" dxfId="761" priority="1461"/>
  </conditionalFormatting>
  <conditionalFormatting sqref="D11:D13 D4:D9">
    <cfRule type="duplicateValues" dxfId="760" priority="1462"/>
    <cfRule type="duplicateValues" dxfId="759" priority="1521"/>
  </conditionalFormatting>
  <conditionalFormatting sqref="D11:D16 D4:D9">
    <cfRule type="duplicateValues" dxfId="758" priority="4075"/>
  </conditionalFormatting>
  <conditionalFormatting sqref="D12 D5:D9">
    <cfRule type="duplicateValues" dxfId="757" priority="1446"/>
  </conditionalFormatting>
  <conditionalFormatting sqref="D12">
    <cfRule type="duplicateValues" dxfId="756" priority="1418"/>
    <cfRule type="duplicateValues" dxfId="755" priority="1419"/>
    <cfRule type="duplicateValues" dxfId="754" priority="1420"/>
    <cfRule type="duplicateValues" dxfId="753" priority="1421"/>
    <cfRule type="duplicateValues" dxfId="752" priority="1422"/>
    <cfRule type="duplicateValues" dxfId="751" priority="1423"/>
    <cfRule type="duplicateValues" dxfId="750" priority="1424"/>
    <cfRule type="duplicateValues" dxfId="749" priority="1425"/>
    <cfRule type="duplicateValues" dxfId="748" priority="1426"/>
    <cfRule type="duplicateValues" dxfId="747" priority="1427"/>
    <cfRule type="duplicateValues" dxfId="746" priority="1459"/>
    <cfRule type="duplicateValues" dxfId="745" priority="1460"/>
  </conditionalFormatting>
  <conditionalFormatting sqref="D13">
    <cfRule type="duplicateValues" dxfId="744" priority="1416"/>
    <cfRule type="duplicateValues" dxfId="743" priority="1417"/>
  </conditionalFormatting>
  <conditionalFormatting sqref="D14:D16">
    <cfRule type="duplicateValues" dxfId="742" priority="4077"/>
    <cfRule type="duplicateValues" dxfId="741" priority="4078"/>
    <cfRule type="duplicateValues" dxfId="740" priority="4079"/>
    <cfRule type="duplicateValues" dxfId="739" priority="4080"/>
    <cfRule type="duplicateValues" dxfId="738" priority="4081"/>
    <cfRule type="duplicateValues" dxfId="737" priority="4082"/>
  </conditionalFormatting>
  <conditionalFormatting sqref="D17:D18">
    <cfRule type="duplicateValues" dxfId="736" priority="1399"/>
  </conditionalFormatting>
  <conditionalFormatting sqref="D17:D20">
    <cfRule type="duplicateValues" dxfId="735" priority="1400"/>
    <cfRule type="duplicateValues" dxfId="734" priority="1401"/>
  </conditionalFormatting>
  <conditionalFormatting sqref="D17:D21">
    <cfRule type="duplicateValues" dxfId="733" priority="1351"/>
    <cfRule type="duplicateValues" dxfId="732" priority="1352"/>
    <cfRule type="duplicateValues" dxfId="731" priority="1403"/>
  </conditionalFormatting>
  <conditionalFormatting sqref="D17:D24">
    <cfRule type="duplicateValues" dxfId="730" priority="1404"/>
  </conditionalFormatting>
  <conditionalFormatting sqref="D17:D26">
    <cfRule type="duplicateValues" dxfId="729" priority="1405"/>
  </conditionalFormatting>
  <conditionalFormatting sqref="D17:D28">
    <cfRule type="duplicateValues" dxfId="728" priority="4121"/>
  </conditionalFormatting>
  <conditionalFormatting sqref="D17:D30">
    <cfRule type="duplicateValues" dxfId="727" priority="4120"/>
  </conditionalFormatting>
  <conditionalFormatting sqref="D18">
    <cfRule type="duplicateValues" dxfId="726" priority="1348"/>
  </conditionalFormatting>
  <conditionalFormatting sqref="D19">
    <cfRule type="duplicateValues" dxfId="725" priority="1346"/>
    <cfRule type="duplicateValues" dxfId="724" priority="1347"/>
  </conditionalFormatting>
  <conditionalFormatting sqref="D19:D21">
    <cfRule type="duplicateValues" dxfId="723" priority="1402"/>
  </conditionalFormatting>
  <conditionalFormatting sqref="D20 D17:D18">
    <cfRule type="duplicateValues" dxfId="722" priority="1350"/>
  </conditionalFormatting>
  <conditionalFormatting sqref="D20">
    <cfRule type="duplicateValues" dxfId="721" priority="1339"/>
    <cfRule type="duplicateValues" dxfId="720" priority="1340"/>
    <cfRule type="duplicateValues" dxfId="719" priority="1341"/>
    <cfRule type="duplicateValues" dxfId="718" priority="1342"/>
    <cfRule type="duplicateValues" dxfId="717" priority="1343"/>
    <cfRule type="duplicateValues" dxfId="716" priority="1344"/>
    <cfRule type="duplicateValues" dxfId="715" priority="1345"/>
  </conditionalFormatting>
  <conditionalFormatting sqref="D21">
    <cfRule type="duplicateValues" dxfId="714" priority="1328"/>
    <cfRule type="duplicateValues" dxfId="713" priority="1329"/>
    <cfRule type="duplicateValues" dxfId="712" priority="1330"/>
    <cfRule type="duplicateValues" dxfId="711" priority="1331"/>
    <cfRule type="duplicateValues" dxfId="710" priority="1332"/>
    <cfRule type="duplicateValues" dxfId="709" priority="1333"/>
    <cfRule type="duplicateValues" dxfId="708" priority="1334"/>
    <cfRule type="duplicateValues" dxfId="707" priority="1335"/>
    <cfRule type="duplicateValues" dxfId="706" priority="1336"/>
    <cfRule type="duplicateValues" dxfId="705" priority="1337"/>
    <cfRule type="duplicateValues" dxfId="704" priority="1338"/>
  </conditionalFormatting>
  <conditionalFormatting sqref="D22">
    <cfRule type="duplicateValues" dxfId="703" priority="1314"/>
    <cfRule type="duplicateValues" dxfId="702" priority="1315"/>
    <cfRule type="duplicateValues" dxfId="701" priority="1316"/>
    <cfRule type="duplicateValues" dxfId="700" priority="1317"/>
    <cfRule type="duplicateValues" dxfId="699" priority="1318"/>
    <cfRule type="duplicateValues" dxfId="698" priority="1319"/>
    <cfRule type="duplicateValues" dxfId="697" priority="1320"/>
    <cfRule type="duplicateValues" dxfId="696" priority="1321"/>
    <cfRule type="duplicateValues" dxfId="695" priority="1322"/>
    <cfRule type="duplicateValues" dxfId="694" priority="1323"/>
    <cfRule type="duplicateValues" dxfId="693" priority="1324"/>
    <cfRule type="duplicateValues" dxfId="692" priority="1325"/>
    <cfRule type="duplicateValues" dxfId="691" priority="1326"/>
    <cfRule type="duplicateValues" dxfId="690" priority="1327"/>
  </conditionalFormatting>
  <conditionalFormatting sqref="D24">
    <cfRule type="duplicateValues" dxfId="689" priority="1299"/>
    <cfRule type="duplicateValues" dxfId="688" priority="1300"/>
    <cfRule type="duplicateValues" dxfId="687" priority="1301"/>
    <cfRule type="duplicateValues" dxfId="686" priority="1302"/>
    <cfRule type="duplicateValues" dxfId="685" priority="1303"/>
    <cfRule type="duplicateValues" dxfId="684" priority="1304"/>
    <cfRule type="duplicateValues" dxfId="683" priority="1305"/>
    <cfRule type="duplicateValues" dxfId="682" priority="1306"/>
    <cfRule type="duplicateValues" dxfId="681" priority="1307"/>
    <cfRule type="duplicateValues" dxfId="680" priority="1308"/>
    <cfRule type="duplicateValues" dxfId="679" priority="1309"/>
    <cfRule type="duplicateValues" dxfId="678" priority="1310"/>
    <cfRule type="duplicateValues" dxfId="677" priority="1311"/>
    <cfRule type="duplicateValues" dxfId="676" priority="1312"/>
    <cfRule type="duplicateValues" dxfId="675" priority="1313"/>
  </conditionalFormatting>
  <conditionalFormatting sqref="D25">
    <cfRule type="duplicateValues" dxfId="674" priority="1283"/>
    <cfRule type="duplicateValues" dxfId="673" priority="1284"/>
    <cfRule type="duplicateValues" dxfId="672" priority="1285"/>
    <cfRule type="duplicateValues" dxfId="671" priority="1286"/>
    <cfRule type="duplicateValues" dxfId="670" priority="1287"/>
    <cfRule type="duplicateValues" dxfId="669" priority="1288"/>
    <cfRule type="duplicateValues" dxfId="668" priority="1289"/>
    <cfRule type="duplicateValues" dxfId="667" priority="1290"/>
    <cfRule type="duplicateValues" dxfId="666" priority="1291"/>
    <cfRule type="duplicateValues" dxfId="665" priority="1292"/>
    <cfRule type="duplicateValues" dxfId="664" priority="1293"/>
    <cfRule type="duplicateValues" dxfId="663" priority="1294"/>
    <cfRule type="duplicateValues" dxfId="662" priority="1295"/>
    <cfRule type="duplicateValues" dxfId="661" priority="1296"/>
    <cfRule type="duplicateValues" dxfId="660" priority="1297"/>
    <cfRule type="duplicateValues" dxfId="659" priority="1298"/>
  </conditionalFormatting>
  <conditionalFormatting sqref="D26">
    <cfRule type="duplicateValues" dxfId="658" priority="1267"/>
    <cfRule type="duplicateValues" dxfId="657" priority="1268"/>
    <cfRule type="duplicateValues" dxfId="656" priority="1269"/>
    <cfRule type="duplicateValues" dxfId="655" priority="1270"/>
    <cfRule type="duplicateValues" dxfId="654" priority="1271"/>
    <cfRule type="duplicateValues" dxfId="653" priority="1272"/>
    <cfRule type="duplicateValues" dxfId="652" priority="1273"/>
    <cfRule type="duplicateValues" dxfId="651" priority="1274"/>
    <cfRule type="duplicateValues" dxfId="650" priority="1275"/>
    <cfRule type="duplicateValues" dxfId="649" priority="1276"/>
    <cfRule type="duplicateValues" dxfId="648" priority="1277"/>
    <cfRule type="duplicateValues" dxfId="647" priority="1278"/>
    <cfRule type="duplicateValues" dxfId="646" priority="1279"/>
    <cfRule type="duplicateValues" dxfId="645" priority="1280"/>
    <cfRule type="duplicateValues" dxfId="644" priority="1281"/>
    <cfRule type="duplicateValues" dxfId="643" priority="1282"/>
  </conditionalFormatting>
  <conditionalFormatting sqref="D27">
    <cfRule type="duplicateValues" dxfId="642" priority="1228"/>
    <cfRule type="duplicateValues" dxfId="641" priority="1229"/>
    <cfRule type="duplicateValues" dxfId="640" priority="1230"/>
    <cfRule type="duplicateValues" dxfId="639" priority="1231"/>
    <cfRule type="duplicateValues" dxfId="638" priority="1232"/>
    <cfRule type="duplicateValues" dxfId="637" priority="1233"/>
    <cfRule type="duplicateValues" dxfId="636" priority="1234"/>
    <cfRule type="duplicateValues" dxfId="635" priority="1235"/>
    <cfRule type="duplicateValues" dxfId="634" priority="1236"/>
    <cfRule type="duplicateValues" dxfId="633" priority="1237"/>
    <cfRule type="duplicateValues" dxfId="632" priority="1238"/>
    <cfRule type="duplicateValues" dxfId="631" priority="1239"/>
    <cfRule type="duplicateValues" dxfId="630" priority="1240"/>
    <cfRule type="duplicateValues" dxfId="629" priority="1241"/>
    <cfRule type="duplicateValues" dxfId="628" priority="1242"/>
    <cfRule type="duplicateValues" dxfId="627" priority="1243"/>
    <cfRule type="duplicateValues" dxfId="626" priority="1244"/>
    <cfRule type="duplicateValues" dxfId="625" priority="1245"/>
    <cfRule type="duplicateValues" dxfId="624" priority="1246"/>
    <cfRule type="duplicateValues" dxfId="623" priority="1247"/>
    <cfRule type="duplicateValues" dxfId="622" priority="1248"/>
    <cfRule type="duplicateValues" dxfId="621" priority="1249"/>
    <cfRule type="duplicateValues" dxfId="620" priority="1250"/>
    <cfRule type="duplicateValues" dxfId="619" priority="1251"/>
    <cfRule type="duplicateValues" dxfId="618" priority="1252"/>
    <cfRule type="duplicateValues" dxfId="617" priority="1253"/>
    <cfRule type="duplicateValues" dxfId="616" priority="1254"/>
    <cfRule type="duplicateValues" dxfId="615" priority="1255"/>
    <cfRule type="duplicateValues" dxfId="614" priority="1256"/>
    <cfRule type="duplicateValues" dxfId="613" priority="1257"/>
    <cfRule type="duplicateValues" dxfId="612" priority="1258"/>
    <cfRule type="duplicateValues" dxfId="611" priority="1259"/>
    <cfRule type="duplicateValues" dxfId="610" priority="1260"/>
    <cfRule type="duplicateValues" dxfId="609" priority="1261"/>
    <cfRule type="duplicateValues" dxfId="608" priority="1262"/>
    <cfRule type="duplicateValues" dxfId="607" priority="1263"/>
    <cfRule type="duplicateValues" dxfId="606" priority="1264"/>
    <cfRule type="duplicateValues" dxfId="605" priority="1265"/>
    <cfRule type="duplicateValues" dxfId="604" priority="1266"/>
  </conditionalFormatting>
  <conditionalFormatting sqref="D28">
    <cfRule type="duplicateValues" dxfId="603" priority="1219"/>
    <cfRule type="duplicateValues" dxfId="602" priority="1220"/>
    <cfRule type="duplicateValues" dxfId="601" priority="1221"/>
    <cfRule type="duplicateValues" dxfId="600" priority="1222"/>
    <cfRule type="duplicateValues" dxfId="599" priority="1223"/>
    <cfRule type="duplicateValues" dxfId="598" priority="1224"/>
    <cfRule type="duplicateValues" dxfId="597" priority="1225"/>
    <cfRule type="duplicateValues" dxfId="596" priority="1226"/>
    <cfRule type="duplicateValues" dxfId="595" priority="1227"/>
  </conditionalFormatting>
  <conditionalFormatting sqref="D29">
    <cfRule type="duplicateValues" dxfId="594" priority="1158"/>
    <cfRule type="duplicateValues" dxfId="593" priority="1159"/>
    <cfRule type="duplicateValues" dxfId="592" priority="1214"/>
    <cfRule type="duplicateValues" dxfId="591" priority="1215"/>
    <cfRule type="duplicateValues" dxfId="590" priority="1216"/>
    <cfRule type="duplicateValues" dxfId="589" priority="1217"/>
    <cfRule type="duplicateValues" dxfId="588" priority="1218"/>
  </conditionalFormatting>
  <conditionalFormatting sqref="D30">
    <cfRule type="duplicateValues" dxfId="587" priority="1192"/>
    <cfRule type="duplicateValues" dxfId="586" priority="1193"/>
    <cfRule type="duplicateValues" dxfId="585" priority="1194"/>
    <cfRule type="duplicateValues" dxfId="584" priority="1195"/>
    <cfRule type="duplicateValues" dxfId="583" priority="1196"/>
    <cfRule type="duplicateValues" dxfId="582" priority="1197"/>
    <cfRule type="duplicateValues" dxfId="581" priority="1198"/>
    <cfRule type="duplicateValues" dxfId="580" priority="1199"/>
    <cfRule type="duplicateValues" dxfId="579" priority="1200"/>
    <cfRule type="duplicateValues" dxfId="578" priority="1201"/>
  </conditionalFormatting>
  <conditionalFormatting sqref="D31">
    <cfRule type="duplicateValues" dxfId="577" priority="1160"/>
    <cfRule type="duplicateValues" dxfId="576" priority="1161"/>
    <cfRule type="duplicateValues" dxfId="575" priority="1162"/>
    <cfRule type="duplicateValues" dxfId="574" priority="1163"/>
    <cfRule type="duplicateValues" dxfId="573" priority="1164"/>
    <cfRule type="duplicateValues" dxfId="572" priority="1165"/>
    <cfRule type="duplicateValues" dxfId="571" priority="1166"/>
    <cfRule type="duplicateValues" dxfId="570" priority="1167"/>
    <cfRule type="duplicateValues" dxfId="569" priority="1168"/>
    <cfRule type="duplicateValues" dxfId="568" priority="1169"/>
    <cfRule type="duplicateValues" dxfId="567" priority="1170"/>
    <cfRule type="duplicateValues" dxfId="566" priority="1171"/>
    <cfRule type="duplicateValues" dxfId="565" priority="1172"/>
    <cfRule type="duplicateValues" dxfId="564" priority="1173"/>
    <cfRule type="duplicateValues" dxfId="563" priority="1174"/>
    <cfRule type="duplicateValues" dxfId="562" priority="1175"/>
    <cfRule type="duplicateValues" dxfId="561" priority="1176"/>
    <cfRule type="duplicateValues" dxfId="560" priority="1177"/>
    <cfRule type="duplicateValues" dxfId="559" priority="1178"/>
    <cfRule type="duplicateValues" dxfId="558" priority="1179"/>
    <cfRule type="duplicateValues" dxfId="557" priority="1180"/>
    <cfRule type="duplicateValues" dxfId="556" priority="1181"/>
    <cfRule type="duplicateValues" dxfId="555" priority="1182"/>
    <cfRule type="duplicateValues" dxfId="554" priority="1183"/>
  </conditionalFormatting>
  <conditionalFormatting sqref="D32">
    <cfRule type="duplicateValues" dxfId="553" priority="186"/>
  </conditionalFormatting>
  <conditionalFormatting sqref="D32:D34">
    <cfRule type="duplicateValues" dxfId="552" priority="185"/>
  </conditionalFormatting>
  <conditionalFormatting sqref="D32:D36">
    <cfRule type="duplicateValues" dxfId="551" priority="252"/>
  </conditionalFormatting>
  <conditionalFormatting sqref="D32:D39 D42:D44">
    <cfRule type="duplicateValues" dxfId="550" priority="254"/>
  </conditionalFormatting>
  <conditionalFormatting sqref="D32:D39 D42:D45 D47:D48">
    <cfRule type="duplicateValues" dxfId="549" priority="255"/>
  </conditionalFormatting>
  <conditionalFormatting sqref="D32:D39 D42:D45">
    <cfRule type="duplicateValues" dxfId="548" priority="251"/>
  </conditionalFormatting>
  <conditionalFormatting sqref="D32:D39">
    <cfRule type="duplicateValues" dxfId="547" priority="253"/>
    <cfRule type="duplicateValues" dxfId="546" priority="258"/>
  </conditionalFormatting>
  <conditionalFormatting sqref="D33:D34">
    <cfRule type="duplicateValues" dxfId="545" priority="187"/>
  </conditionalFormatting>
  <conditionalFormatting sqref="D34">
    <cfRule type="duplicateValues" dxfId="544" priority="184"/>
  </conditionalFormatting>
  <conditionalFormatting sqref="D36 D32:D34">
    <cfRule type="duplicateValues" dxfId="543" priority="188"/>
  </conditionalFormatting>
  <conditionalFormatting sqref="D36">
    <cfRule type="duplicateValues" dxfId="542" priority="183"/>
  </conditionalFormatting>
  <conditionalFormatting sqref="D36:D39">
    <cfRule type="duplicateValues" dxfId="541" priority="256"/>
  </conditionalFormatting>
  <conditionalFormatting sqref="D37">
    <cfRule type="duplicateValues" dxfId="540" priority="146"/>
    <cfRule type="duplicateValues" dxfId="539" priority="147"/>
    <cfRule type="duplicateValues" dxfId="538" priority="148"/>
    <cfRule type="duplicateValues" dxfId="537" priority="149"/>
    <cfRule type="duplicateValues" dxfId="536" priority="150"/>
    <cfRule type="duplicateValues" dxfId="535" priority="151"/>
    <cfRule type="duplicateValues" dxfId="534" priority="152"/>
    <cfRule type="duplicateValues" dxfId="533" priority="153"/>
    <cfRule type="duplicateValues" dxfId="532" priority="154"/>
    <cfRule type="duplicateValues" dxfId="531" priority="155"/>
    <cfRule type="duplicateValues" dxfId="530" priority="156"/>
    <cfRule type="duplicateValues" dxfId="529" priority="157"/>
    <cfRule type="duplicateValues" dxfId="528" priority="158"/>
    <cfRule type="duplicateValues" dxfId="527" priority="159"/>
    <cfRule type="duplicateValues" dxfId="526" priority="160"/>
    <cfRule type="duplicateValues" dxfId="525" priority="161"/>
    <cfRule type="duplicateValues" dxfId="524" priority="162"/>
    <cfRule type="duplicateValues" dxfId="523" priority="163"/>
    <cfRule type="duplicateValues" dxfId="522" priority="164"/>
    <cfRule type="duplicateValues" dxfId="521" priority="165"/>
    <cfRule type="duplicateValues" dxfId="520" priority="166"/>
    <cfRule type="duplicateValues" dxfId="519" priority="167"/>
    <cfRule type="duplicateValues" dxfId="518" priority="168"/>
    <cfRule type="duplicateValues" dxfId="517" priority="169"/>
    <cfRule type="duplicateValues" dxfId="516" priority="170"/>
    <cfRule type="duplicateValues" dxfId="515" priority="171"/>
    <cfRule type="duplicateValues" dxfId="514" priority="172"/>
    <cfRule type="duplicateValues" dxfId="513" priority="173"/>
    <cfRule type="duplicateValues" dxfId="512" priority="174"/>
    <cfRule type="duplicateValues" dxfId="511" priority="175"/>
    <cfRule type="duplicateValues" dxfId="510" priority="176"/>
    <cfRule type="duplicateValues" dxfId="509" priority="177"/>
    <cfRule type="duplicateValues" dxfId="508" priority="178"/>
    <cfRule type="duplicateValues" dxfId="507" priority="179"/>
    <cfRule type="duplicateValues" dxfId="506" priority="180"/>
    <cfRule type="duplicateValues" dxfId="505" priority="181"/>
    <cfRule type="duplicateValues" dxfId="504" priority="182"/>
  </conditionalFormatting>
  <conditionalFormatting sqref="D38 D32:D36">
    <cfRule type="duplicateValues" dxfId="503" priority="189"/>
    <cfRule type="duplicateValues" dxfId="502" priority="190"/>
  </conditionalFormatting>
  <conditionalFormatting sqref="D38">
    <cfRule type="duplicateValues" dxfId="501" priority="144"/>
    <cfRule type="duplicateValues" dxfId="500" priority="145"/>
    <cfRule type="duplicateValues" dxfId="499" priority="191"/>
    <cfRule type="duplicateValues" dxfId="498" priority="192"/>
  </conditionalFormatting>
  <conditionalFormatting sqref="D39">
    <cfRule type="duplicateValues" dxfId="497" priority="123"/>
    <cfRule type="duplicateValues" dxfId="496" priority="124"/>
    <cfRule type="duplicateValues" dxfId="495" priority="125"/>
    <cfRule type="duplicateValues" dxfId="494" priority="126"/>
    <cfRule type="duplicateValues" dxfId="493" priority="127"/>
    <cfRule type="duplicateValues" dxfId="492" priority="128"/>
    <cfRule type="duplicateValues" dxfId="491" priority="129"/>
    <cfRule type="duplicateValues" dxfId="490" priority="130"/>
    <cfRule type="duplicateValues" dxfId="489" priority="131"/>
    <cfRule type="duplicateValues" dxfId="488" priority="132"/>
    <cfRule type="duplicateValues" dxfId="487" priority="133"/>
    <cfRule type="duplicateValues" dxfId="486" priority="134"/>
    <cfRule type="duplicateValues" dxfId="485" priority="135"/>
    <cfRule type="duplicateValues" dxfId="484" priority="136"/>
    <cfRule type="duplicateValues" dxfId="483" priority="137"/>
    <cfRule type="duplicateValues" dxfId="482" priority="138"/>
    <cfRule type="duplicateValues" dxfId="481" priority="139"/>
    <cfRule type="duplicateValues" dxfId="480" priority="140"/>
    <cfRule type="duplicateValues" dxfId="479" priority="141"/>
    <cfRule type="duplicateValues" dxfId="478" priority="142"/>
    <cfRule type="duplicateValues" dxfId="477" priority="143"/>
  </conditionalFormatting>
  <conditionalFormatting sqref="D40">
    <cfRule type="duplicateValues" dxfId="476" priority="63"/>
    <cfRule type="duplicateValues" dxfId="475" priority="64"/>
    <cfRule type="duplicateValues" dxfId="474" priority="65"/>
    <cfRule type="duplicateValues" dxfId="473" priority="66"/>
  </conditionalFormatting>
  <conditionalFormatting sqref="D41">
    <cfRule type="duplicateValues" dxfId="472" priority="58"/>
    <cfRule type="duplicateValues" dxfId="471" priority="59"/>
    <cfRule type="duplicateValues" dxfId="470" priority="60"/>
  </conditionalFormatting>
  <conditionalFormatting sqref="D42">
    <cfRule type="duplicateValues" dxfId="469" priority="122"/>
  </conditionalFormatting>
  <conditionalFormatting sqref="D42:D43">
    <cfRule type="duplicateValues" dxfId="468" priority="121"/>
  </conditionalFormatting>
  <conditionalFormatting sqref="D43">
    <cfRule type="duplicateValues" dxfId="467" priority="120"/>
  </conditionalFormatting>
  <conditionalFormatting sqref="D44">
    <cfRule type="duplicateValues" dxfId="466" priority="107"/>
    <cfRule type="duplicateValues" dxfId="465" priority="108"/>
    <cfRule type="duplicateValues" dxfId="464" priority="109"/>
    <cfRule type="duplicateValues" dxfId="463" priority="110"/>
    <cfRule type="duplicateValues" dxfId="462" priority="111"/>
    <cfRule type="duplicateValues" dxfId="461" priority="112"/>
    <cfRule type="duplicateValues" dxfId="460" priority="113"/>
    <cfRule type="duplicateValues" dxfId="459" priority="114"/>
    <cfRule type="duplicateValues" dxfId="458" priority="115"/>
    <cfRule type="duplicateValues" dxfId="457" priority="116"/>
    <cfRule type="duplicateValues" dxfId="456" priority="117"/>
    <cfRule type="duplicateValues" dxfId="455" priority="118"/>
    <cfRule type="duplicateValues" dxfId="454" priority="119"/>
  </conditionalFormatting>
  <conditionalFormatting sqref="D45">
    <cfRule type="duplicateValues" dxfId="453" priority="101"/>
    <cfRule type="duplicateValues" dxfId="452" priority="102"/>
    <cfRule type="duplicateValues" dxfId="451" priority="103"/>
    <cfRule type="duplicateValues" dxfId="450" priority="104"/>
    <cfRule type="duplicateValues" dxfId="449" priority="105"/>
    <cfRule type="duplicateValues" dxfId="448" priority="106"/>
  </conditionalFormatting>
  <conditionalFormatting sqref="D46">
    <cfRule type="duplicateValues" dxfId="447" priority="33"/>
    <cfRule type="duplicateValues" dxfId="446" priority="34"/>
    <cfRule type="duplicateValues" dxfId="445" priority="35"/>
    <cfRule type="duplicateValues" dxfId="444" priority="36"/>
    <cfRule type="duplicateValues" dxfId="443" priority="37"/>
    <cfRule type="duplicateValues" dxfId="442" priority="38"/>
    <cfRule type="duplicateValues" dxfId="441" priority="39"/>
    <cfRule type="duplicateValues" dxfId="440" priority="40"/>
    <cfRule type="duplicateValues" dxfId="439" priority="41"/>
    <cfRule type="duplicateValues" dxfId="438" priority="42"/>
    <cfRule type="duplicateValues" dxfId="437" priority="43"/>
    <cfRule type="duplicateValues" dxfId="436" priority="44"/>
    <cfRule type="duplicateValues" dxfId="435" priority="45"/>
    <cfRule type="duplicateValues" dxfId="434" priority="46"/>
    <cfRule type="duplicateValues" dxfId="433" priority="47"/>
    <cfRule type="duplicateValues" dxfId="432" priority="48"/>
    <cfRule type="duplicateValues" dxfId="431" priority="49"/>
  </conditionalFormatting>
  <conditionalFormatting sqref="D47">
    <cfRule type="duplicateValues" dxfId="430" priority="99"/>
    <cfRule type="duplicateValues" dxfId="429" priority="100"/>
  </conditionalFormatting>
  <conditionalFormatting sqref="D48">
    <cfRule type="duplicateValues" dxfId="428" priority="96"/>
    <cfRule type="duplicateValues" dxfId="427" priority="97"/>
    <cfRule type="duplicateValues" dxfId="426" priority="98"/>
  </conditionalFormatting>
  <conditionalFormatting sqref="D49">
    <cfRule type="duplicateValues" dxfId="425" priority="68"/>
    <cfRule type="duplicateValues" dxfId="424" priority="69"/>
    <cfRule type="duplicateValues" dxfId="423" priority="70"/>
    <cfRule type="duplicateValues" dxfId="422" priority="71"/>
    <cfRule type="duplicateValues" dxfId="421" priority="72"/>
    <cfRule type="duplicateValues" dxfId="420" priority="73"/>
    <cfRule type="duplicateValues" dxfId="419" priority="74"/>
    <cfRule type="duplicateValues" dxfId="418" priority="75"/>
    <cfRule type="duplicateValues" dxfId="417" priority="76"/>
    <cfRule type="duplicateValues" dxfId="416" priority="77"/>
    <cfRule type="duplicateValues" dxfId="415" priority="78"/>
    <cfRule type="duplicateValues" dxfId="414" priority="79"/>
    <cfRule type="duplicateValues" dxfId="413" priority="80"/>
    <cfRule type="duplicateValues" dxfId="412" priority="81"/>
    <cfRule type="duplicateValues" dxfId="411" priority="82"/>
    <cfRule type="duplicateValues" dxfId="410" priority="83"/>
    <cfRule type="duplicateValues" dxfId="409" priority="84"/>
    <cfRule type="duplicateValues" dxfId="408" priority="85"/>
    <cfRule type="duplicateValues" dxfId="407" priority="86"/>
    <cfRule type="duplicateValues" dxfId="406" priority="87"/>
    <cfRule type="duplicateValues" dxfId="405" priority="88"/>
    <cfRule type="duplicateValues" dxfId="404" priority="89"/>
    <cfRule type="duplicateValues" dxfId="403" priority="90"/>
    <cfRule type="duplicateValues" dxfId="402" priority="91"/>
  </conditionalFormatting>
  <conditionalFormatting sqref="D50">
    <cfRule type="duplicateValues" dxfId="401" priority="92"/>
    <cfRule type="duplicateValues" dxfId="400" priority="93"/>
    <cfRule type="duplicateValues" dxfId="399" priority="94"/>
    <cfRule type="duplicateValues" dxfId="398" priority="95"/>
  </conditionalFormatting>
  <conditionalFormatting sqref="D51">
    <cfRule type="duplicateValues" dxfId="397" priority="17"/>
    <cfRule type="duplicateValues" dxfId="396" priority="18"/>
    <cfRule type="duplicateValues" dxfId="395" priority="19"/>
    <cfRule type="duplicateValues" dxfId="394" priority="20"/>
    <cfRule type="duplicateValues" dxfId="393" priority="21"/>
    <cfRule type="duplicateValues" dxfId="392" priority="22"/>
    <cfRule type="duplicateValues" dxfId="391" priority="23"/>
    <cfRule type="duplicateValues" dxfId="390" priority="24"/>
    <cfRule type="duplicateValues" dxfId="389" priority="25"/>
  </conditionalFormatting>
  <conditionalFormatting sqref="D52 D54:D55">
    <cfRule type="duplicateValues" dxfId="388" priority="896"/>
  </conditionalFormatting>
  <conditionalFormatting sqref="D52 D54:D65">
    <cfRule type="duplicateValues" dxfId="387" priority="899"/>
  </conditionalFormatting>
  <conditionalFormatting sqref="D52 D54:D68">
    <cfRule type="duplicateValues" dxfId="386" priority="902"/>
  </conditionalFormatting>
  <conditionalFormatting sqref="D52 D54:D69">
    <cfRule type="duplicateValues" dxfId="385" priority="903"/>
  </conditionalFormatting>
  <conditionalFormatting sqref="D52">
    <cfRule type="duplicateValues" dxfId="384" priority="871"/>
    <cfRule type="duplicateValues" dxfId="383" priority="872"/>
    <cfRule type="duplicateValues" dxfId="382" priority="873"/>
    <cfRule type="duplicateValues" dxfId="381" priority="874"/>
    <cfRule type="duplicateValues" dxfId="380" priority="875"/>
  </conditionalFormatting>
  <conditionalFormatting sqref="D55">
    <cfRule type="duplicateValues" dxfId="379" priority="857"/>
    <cfRule type="duplicateValues" dxfId="378" priority="858"/>
    <cfRule type="duplicateValues" dxfId="377" priority="859"/>
    <cfRule type="duplicateValues" dxfId="376" priority="860"/>
    <cfRule type="duplicateValues" dxfId="375" priority="861"/>
    <cfRule type="duplicateValues" dxfId="374" priority="862"/>
    <cfRule type="duplicateValues" dxfId="373" priority="863"/>
    <cfRule type="duplicateValues" dxfId="372" priority="864"/>
    <cfRule type="duplicateValues" dxfId="371" priority="865"/>
  </conditionalFormatting>
  <conditionalFormatting sqref="D57">
    <cfRule type="duplicateValues" dxfId="370" priority="851"/>
    <cfRule type="duplicateValues" dxfId="369" priority="852"/>
    <cfRule type="duplicateValues" dxfId="368" priority="853"/>
    <cfRule type="duplicateValues" dxfId="367" priority="854"/>
    <cfRule type="duplicateValues" dxfId="366" priority="855"/>
    <cfRule type="duplicateValues" dxfId="365" priority="856"/>
  </conditionalFormatting>
  <conditionalFormatting sqref="D58:D59">
    <cfRule type="duplicateValues" dxfId="364" priority="849"/>
    <cfRule type="duplicateValues" dxfId="363" priority="850"/>
  </conditionalFormatting>
  <conditionalFormatting sqref="D60">
    <cfRule type="duplicateValues" dxfId="362" priority="831"/>
    <cfRule type="duplicateValues" dxfId="361" priority="832"/>
    <cfRule type="duplicateValues" dxfId="360" priority="833"/>
    <cfRule type="duplicateValues" dxfId="359" priority="834"/>
    <cfRule type="duplicateValues" dxfId="358" priority="835"/>
    <cfRule type="duplicateValues" dxfId="357" priority="836"/>
    <cfRule type="duplicateValues" dxfId="356" priority="837"/>
    <cfRule type="duplicateValues" dxfId="355" priority="838"/>
    <cfRule type="duplicateValues" dxfId="354" priority="839"/>
    <cfRule type="duplicateValues" dxfId="353" priority="840"/>
    <cfRule type="duplicateValues" dxfId="352" priority="841"/>
    <cfRule type="duplicateValues" dxfId="351" priority="842"/>
    <cfRule type="duplicateValues" dxfId="350" priority="843"/>
    <cfRule type="duplicateValues" dxfId="349" priority="844"/>
    <cfRule type="duplicateValues" dxfId="348" priority="845"/>
    <cfRule type="duplicateValues" dxfId="347" priority="846"/>
    <cfRule type="duplicateValues" dxfId="346" priority="847"/>
    <cfRule type="duplicateValues" dxfId="345" priority="848"/>
  </conditionalFormatting>
  <conditionalFormatting sqref="D61">
    <cfRule type="duplicateValues" dxfId="344" priority="812"/>
    <cfRule type="duplicateValues" dxfId="343" priority="813"/>
    <cfRule type="duplicateValues" dxfId="342" priority="814"/>
    <cfRule type="duplicateValues" dxfId="341" priority="815"/>
    <cfRule type="duplicateValues" dxfId="340" priority="816"/>
    <cfRule type="duplicateValues" dxfId="339" priority="817"/>
    <cfRule type="duplicateValues" dxfId="338" priority="818"/>
    <cfRule type="duplicateValues" dxfId="337" priority="819"/>
    <cfRule type="duplicateValues" dxfId="336" priority="820"/>
    <cfRule type="duplicateValues" dxfId="335" priority="821"/>
    <cfRule type="duplicateValues" dxfId="334" priority="822"/>
    <cfRule type="duplicateValues" dxfId="333" priority="823"/>
  </conditionalFormatting>
  <conditionalFormatting sqref="D61:D64 D52 D54:D59">
    <cfRule type="duplicateValues" dxfId="332" priority="877"/>
  </conditionalFormatting>
  <conditionalFormatting sqref="D62:D64 D52 D54:D55">
    <cfRule type="duplicateValues" dxfId="331" priority="876"/>
  </conditionalFormatting>
  <conditionalFormatting sqref="D62:D64 D54">
    <cfRule type="duplicateValues" dxfId="330" priority="866"/>
    <cfRule type="duplicateValues" dxfId="329" priority="867"/>
    <cfRule type="duplicateValues" dxfId="328" priority="868"/>
  </conditionalFormatting>
  <conditionalFormatting sqref="D62:D64 D54:D55">
    <cfRule type="duplicateValues" dxfId="327" priority="869"/>
    <cfRule type="duplicateValues" dxfId="326" priority="870"/>
  </conditionalFormatting>
  <conditionalFormatting sqref="D62:D64">
    <cfRule type="duplicateValues" dxfId="325" priority="824"/>
    <cfRule type="duplicateValues" dxfId="324" priority="825"/>
    <cfRule type="duplicateValues" dxfId="323" priority="826"/>
    <cfRule type="duplicateValues" dxfId="322" priority="827"/>
    <cfRule type="duplicateValues" dxfId="321" priority="828"/>
    <cfRule type="duplicateValues" dxfId="320" priority="829"/>
    <cfRule type="duplicateValues" dxfId="319" priority="830"/>
  </conditionalFormatting>
  <conditionalFormatting sqref="D63">
    <cfRule type="duplicateValues" dxfId="318" priority="809"/>
    <cfRule type="duplicateValues" dxfId="317" priority="810"/>
    <cfRule type="duplicateValues" dxfId="316" priority="811"/>
  </conditionalFormatting>
  <conditionalFormatting sqref="D64">
    <cfRule type="duplicateValues" dxfId="315" priority="802"/>
    <cfRule type="duplicateValues" dxfId="314" priority="803"/>
    <cfRule type="duplicateValues" dxfId="313" priority="804"/>
    <cfRule type="duplicateValues" dxfId="312" priority="805"/>
    <cfRule type="duplicateValues" dxfId="311" priority="806"/>
    <cfRule type="duplicateValues" dxfId="310" priority="807"/>
    <cfRule type="duplicateValues" dxfId="309" priority="808"/>
  </conditionalFormatting>
  <conditionalFormatting sqref="D65">
    <cfRule type="duplicateValues" dxfId="308" priority="790"/>
    <cfRule type="duplicateValues" dxfId="307" priority="791"/>
    <cfRule type="duplicateValues" dxfId="306" priority="792"/>
    <cfRule type="duplicateValues" dxfId="305" priority="793"/>
    <cfRule type="duplicateValues" dxfId="304" priority="794"/>
    <cfRule type="duplicateValues" dxfId="303" priority="795"/>
    <cfRule type="duplicateValues" dxfId="302" priority="796"/>
    <cfRule type="duplicateValues" dxfId="301" priority="797"/>
    <cfRule type="duplicateValues" dxfId="300" priority="798"/>
    <cfRule type="duplicateValues" dxfId="299" priority="799"/>
    <cfRule type="duplicateValues" dxfId="298" priority="800"/>
    <cfRule type="duplicateValues" dxfId="297" priority="801"/>
  </conditionalFormatting>
  <conditionalFormatting sqref="D66">
    <cfRule type="duplicateValues" dxfId="296" priority="750"/>
    <cfRule type="duplicateValues" dxfId="295" priority="751"/>
    <cfRule type="duplicateValues" dxfId="294" priority="752"/>
    <cfRule type="duplicateValues" dxfId="293" priority="753"/>
    <cfRule type="duplicateValues" dxfId="292" priority="754"/>
    <cfRule type="duplicateValues" dxfId="291" priority="755"/>
    <cfRule type="duplicateValues" dxfId="290" priority="756"/>
    <cfRule type="duplicateValues" dxfId="289" priority="757"/>
    <cfRule type="duplicateValues" dxfId="288" priority="758"/>
    <cfRule type="duplicateValues" dxfId="287" priority="759"/>
    <cfRule type="duplicateValues" dxfId="286" priority="760"/>
    <cfRule type="duplicateValues" dxfId="285" priority="761"/>
    <cfRule type="duplicateValues" dxfId="284" priority="762"/>
    <cfRule type="duplicateValues" dxfId="283" priority="763"/>
    <cfRule type="duplicateValues" dxfId="282" priority="764"/>
    <cfRule type="duplicateValues" dxfId="281" priority="765"/>
    <cfRule type="duplicateValues" dxfId="280" priority="766"/>
    <cfRule type="duplicateValues" dxfId="279" priority="767"/>
    <cfRule type="duplicateValues" dxfId="278" priority="768"/>
    <cfRule type="duplicateValues" dxfId="277" priority="769"/>
    <cfRule type="duplicateValues" dxfId="276" priority="770"/>
    <cfRule type="duplicateValues" dxfId="275" priority="771"/>
    <cfRule type="duplicateValues" dxfId="274" priority="772"/>
    <cfRule type="duplicateValues" dxfId="273" priority="773"/>
    <cfRule type="duplicateValues" dxfId="272" priority="774"/>
    <cfRule type="duplicateValues" dxfId="271" priority="775"/>
    <cfRule type="duplicateValues" dxfId="270" priority="776"/>
    <cfRule type="duplicateValues" dxfId="269" priority="777"/>
    <cfRule type="duplicateValues" dxfId="268" priority="778"/>
    <cfRule type="duplicateValues" dxfId="267" priority="779"/>
    <cfRule type="duplicateValues" dxfId="266" priority="780"/>
    <cfRule type="duplicateValues" dxfId="265" priority="781"/>
    <cfRule type="duplicateValues" dxfId="264" priority="782"/>
    <cfRule type="duplicateValues" dxfId="263" priority="783"/>
    <cfRule type="duplicateValues" dxfId="262" priority="784"/>
    <cfRule type="duplicateValues" dxfId="261" priority="785"/>
    <cfRule type="duplicateValues" dxfId="260" priority="786"/>
    <cfRule type="duplicateValues" dxfId="259" priority="787"/>
    <cfRule type="duplicateValues" dxfId="258" priority="788"/>
  </conditionalFormatting>
  <conditionalFormatting sqref="D66:D67">
    <cfRule type="duplicateValues" dxfId="257" priority="789"/>
  </conditionalFormatting>
  <conditionalFormatting sqref="D67">
    <cfRule type="duplicateValues" dxfId="256" priority="734"/>
    <cfRule type="duplicateValues" dxfId="255" priority="735"/>
    <cfRule type="duplicateValues" dxfId="254" priority="736"/>
    <cfRule type="duplicateValues" dxfId="253" priority="737"/>
    <cfRule type="duplicateValues" dxfId="252" priority="738"/>
    <cfRule type="duplicateValues" dxfId="251" priority="739"/>
    <cfRule type="duplicateValues" dxfId="250" priority="740"/>
    <cfRule type="duplicateValues" dxfId="249" priority="741"/>
    <cfRule type="duplicateValues" dxfId="248" priority="742"/>
    <cfRule type="duplicateValues" dxfId="247" priority="743"/>
    <cfRule type="duplicateValues" dxfId="246" priority="744"/>
    <cfRule type="duplicateValues" dxfId="245" priority="745"/>
    <cfRule type="duplicateValues" dxfId="244" priority="746"/>
    <cfRule type="duplicateValues" dxfId="243" priority="747"/>
    <cfRule type="duplicateValues" dxfId="242" priority="748"/>
    <cfRule type="duplicateValues" dxfId="241" priority="749"/>
  </conditionalFormatting>
  <conditionalFormatting sqref="D68">
    <cfRule type="duplicateValues" dxfId="240" priority="708"/>
    <cfRule type="duplicateValues" dxfId="239" priority="709"/>
    <cfRule type="duplicateValues" dxfId="238" priority="710"/>
    <cfRule type="duplicateValues" dxfId="237" priority="711"/>
    <cfRule type="duplicateValues" dxfId="236" priority="712"/>
    <cfRule type="duplicateValues" dxfId="235" priority="713"/>
    <cfRule type="duplicateValues" dxfId="234" priority="714"/>
    <cfRule type="duplicateValues" dxfId="233" priority="715"/>
    <cfRule type="duplicateValues" dxfId="232" priority="716"/>
    <cfRule type="duplicateValues" dxfId="231" priority="717"/>
    <cfRule type="duplicateValues" dxfId="230" priority="718"/>
    <cfRule type="duplicateValues" dxfId="229" priority="719"/>
    <cfRule type="duplicateValues" dxfId="228" priority="720"/>
    <cfRule type="duplicateValues" dxfId="227" priority="721"/>
    <cfRule type="duplicateValues" dxfId="226" priority="722"/>
    <cfRule type="duplicateValues" dxfId="225" priority="723"/>
    <cfRule type="duplicateValues" dxfId="224" priority="724"/>
    <cfRule type="duplicateValues" dxfId="223" priority="725"/>
    <cfRule type="duplicateValues" dxfId="222" priority="726"/>
    <cfRule type="duplicateValues" dxfId="221" priority="727"/>
    <cfRule type="duplicateValues" dxfId="220" priority="728"/>
    <cfRule type="duplicateValues" dxfId="219" priority="729"/>
    <cfRule type="duplicateValues" dxfId="218" priority="730"/>
    <cfRule type="duplicateValues" dxfId="217" priority="731"/>
    <cfRule type="duplicateValues" dxfId="216" priority="732"/>
    <cfRule type="duplicateValues" dxfId="215" priority="733"/>
  </conditionalFormatting>
  <conditionalFormatting sqref="D69">
    <cfRule type="duplicateValues" dxfId="214" priority="705"/>
    <cfRule type="duplicateValues" dxfId="213" priority="706"/>
    <cfRule type="duplicateValues" dxfId="212" priority="707"/>
  </conditionalFormatting>
  <conditionalFormatting sqref="D71">
    <cfRule type="duplicateValues" dxfId="211" priority="691"/>
    <cfRule type="duplicateValues" dxfId="210" priority="692"/>
    <cfRule type="duplicateValues" dxfId="209" priority="693"/>
    <cfRule type="duplicateValues" dxfId="208" priority="694"/>
    <cfRule type="duplicateValues" dxfId="207" priority="695"/>
    <cfRule type="duplicateValues" dxfId="206" priority="696"/>
    <cfRule type="duplicateValues" dxfId="205" priority="697"/>
    <cfRule type="duplicateValues" dxfId="204" priority="701"/>
    <cfRule type="duplicateValues" dxfId="203" priority="703"/>
    <cfRule type="duplicateValues" dxfId="202" priority="704"/>
  </conditionalFormatting>
  <conditionalFormatting sqref="D73">
    <cfRule type="duplicateValues" dxfId="201" priority="630"/>
  </conditionalFormatting>
  <conditionalFormatting sqref="D73:D74">
    <cfRule type="duplicateValues" dxfId="200" priority="631"/>
  </conditionalFormatting>
  <conditionalFormatting sqref="D73:D75">
    <cfRule type="duplicateValues" dxfId="199" priority="632"/>
    <cfRule type="duplicateValues" dxfId="198" priority="633"/>
  </conditionalFormatting>
  <conditionalFormatting sqref="D73:D76">
    <cfRule type="duplicateValues" dxfId="197" priority="679"/>
    <cfRule type="duplicateValues" dxfId="196" priority="680"/>
  </conditionalFormatting>
  <conditionalFormatting sqref="D73:D80">
    <cfRule type="duplicateValues" dxfId="195" priority="689"/>
  </conditionalFormatting>
  <conditionalFormatting sqref="D73:D83">
    <cfRule type="duplicateValues" dxfId="194" priority="690"/>
  </conditionalFormatting>
  <conditionalFormatting sqref="D73:D87">
    <cfRule type="duplicateValues" dxfId="193" priority="681"/>
  </conditionalFormatting>
  <conditionalFormatting sqref="D73:D88">
    <cfRule type="duplicateValues" dxfId="192" priority="628"/>
  </conditionalFormatting>
  <conditionalFormatting sqref="D74">
    <cfRule type="duplicateValues" dxfId="191" priority="627"/>
  </conditionalFormatting>
  <conditionalFormatting sqref="D75">
    <cfRule type="duplicateValues" dxfId="190" priority="626"/>
  </conditionalFormatting>
  <conditionalFormatting sqref="D76">
    <cfRule type="duplicateValues" dxfId="189" priority="614"/>
    <cfRule type="duplicateValues" dxfId="188" priority="615"/>
    <cfRule type="duplicateValues" dxfId="187" priority="616"/>
    <cfRule type="duplicateValues" dxfId="186" priority="617"/>
    <cfRule type="duplicateValues" dxfId="185" priority="618"/>
    <cfRule type="duplicateValues" dxfId="184" priority="619"/>
    <cfRule type="duplicateValues" dxfId="183" priority="620"/>
    <cfRule type="duplicateValues" dxfId="182" priority="621"/>
    <cfRule type="duplicateValues" dxfId="181" priority="622"/>
    <cfRule type="duplicateValues" dxfId="180" priority="623"/>
    <cfRule type="duplicateValues" dxfId="179" priority="624"/>
    <cfRule type="duplicateValues" dxfId="178" priority="625"/>
  </conditionalFormatting>
  <conditionalFormatting sqref="D78">
    <cfRule type="duplicateValues" dxfId="177" priority="592"/>
    <cfRule type="duplicateValues" dxfId="176" priority="593"/>
    <cfRule type="duplicateValues" dxfId="175" priority="594"/>
    <cfRule type="duplicateValues" dxfId="174" priority="595"/>
    <cfRule type="duplicateValues" dxfId="173" priority="596"/>
    <cfRule type="duplicateValues" dxfId="172" priority="597"/>
    <cfRule type="duplicateValues" dxfId="171" priority="598"/>
    <cfRule type="duplicateValues" dxfId="170" priority="599"/>
    <cfRule type="duplicateValues" dxfId="169" priority="600"/>
    <cfRule type="duplicateValues" dxfId="168" priority="601"/>
    <cfRule type="duplicateValues" dxfId="167" priority="602"/>
    <cfRule type="duplicateValues" dxfId="166" priority="603"/>
    <cfRule type="duplicateValues" dxfId="165" priority="604"/>
    <cfRule type="duplicateValues" dxfId="164" priority="605"/>
    <cfRule type="duplicateValues" dxfId="163" priority="606"/>
    <cfRule type="duplicateValues" dxfId="162" priority="607"/>
    <cfRule type="duplicateValues" dxfId="161" priority="608"/>
    <cfRule type="duplicateValues" dxfId="160" priority="609"/>
    <cfRule type="duplicateValues" dxfId="159" priority="610"/>
    <cfRule type="duplicateValues" dxfId="158" priority="611"/>
    <cfRule type="duplicateValues" dxfId="157" priority="612"/>
    <cfRule type="duplicateValues" dxfId="156" priority="613"/>
  </conditionalFormatting>
  <conditionalFormatting sqref="D79">
    <cfRule type="duplicateValues" dxfId="155" priority="682"/>
    <cfRule type="duplicateValues" dxfId="154" priority="683"/>
  </conditionalFormatting>
  <conditionalFormatting sqref="D79:D80 D73:D77">
    <cfRule type="duplicateValues" dxfId="153" priority="684"/>
  </conditionalFormatting>
  <conditionalFormatting sqref="D80">
    <cfRule type="duplicateValues" dxfId="152" priority="578"/>
    <cfRule type="duplicateValues" dxfId="151" priority="579"/>
    <cfRule type="duplicateValues" dxfId="150" priority="580"/>
    <cfRule type="duplicateValues" dxfId="149" priority="581"/>
    <cfRule type="duplicateValues" dxfId="148" priority="582"/>
    <cfRule type="duplicateValues" dxfId="147" priority="583"/>
    <cfRule type="duplicateValues" dxfId="146" priority="584"/>
    <cfRule type="duplicateValues" dxfId="145" priority="585"/>
    <cfRule type="duplicateValues" dxfId="144" priority="586"/>
    <cfRule type="duplicateValues" dxfId="143" priority="587"/>
    <cfRule type="duplicateValues" dxfId="142" priority="588"/>
    <cfRule type="duplicateValues" dxfId="141" priority="589"/>
    <cfRule type="duplicateValues" dxfId="140" priority="590"/>
    <cfRule type="duplicateValues" dxfId="139" priority="591"/>
  </conditionalFormatting>
  <conditionalFormatting sqref="D81">
    <cfRule type="duplicateValues" dxfId="138" priority="559"/>
    <cfRule type="duplicateValues" dxfId="137" priority="560"/>
    <cfRule type="duplicateValues" dxfId="136" priority="561"/>
    <cfRule type="duplicateValues" dxfId="135" priority="562"/>
    <cfRule type="duplicateValues" dxfId="134" priority="563"/>
    <cfRule type="duplicateValues" dxfId="133" priority="564"/>
    <cfRule type="duplicateValues" dxfId="132" priority="565"/>
    <cfRule type="duplicateValues" dxfId="131" priority="566"/>
    <cfRule type="duplicateValues" dxfId="130" priority="567"/>
    <cfRule type="duplicateValues" dxfId="129" priority="568"/>
    <cfRule type="duplicateValues" dxfId="128" priority="569"/>
    <cfRule type="duplicateValues" dxfId="127" priority="570"/>
    <cfRule type="duplicateValues" dxfId="126" priority="571"/>
    <cfRule type="duplicateValues" dxfId="125" priority="572"/>
    <cfRule type="duplicateValues" dxfId="124" priority="573"/>
    <cfRule type="duplicateValues" dxfId="123" priority="574"/>
    <cfRule type="duplicateValues" dxfId="122" priority="575"/>
    <cfRule type="duplicateValues" dxfId="121" priority="576"/>
    <cfRule type="duplicateValues" dxfId="120" priority="577"/>
  </conditionalFormatting>
  <conditionalFormatting sqref="D82">
    <cfRule type="duplicateValues" dxfId="119" priority="549"/>
    <cfRule type="duplicateValues" dxfId="118" priority="550"/>
    <cfRule type="duplicateValues" dxfId="117" priority="551"/>
    <cfRule type="duplicateValues" dxfId="116" priority="552"/>
    <cfRule type="duplicateValues" dxfId="115" priority="553"/>
    <cfRule type="duplicateValues" dxfId="114" priority="554"/>
    <cfRule type="duplicateValues" dxfId="113" priority="555"/>
  </conditionalFormatting>
  <conditionalFormatting sqref="D83">
    <cfRule type="duplicateValues" dxfId="112" priority="556"/>
    <cfRule type="duplicateValues" dxfId="111" priority="557"/>
    <cfRule type="duplicateValues" dxfId="110" priority="558"/>
  </conditionalFormatting>
  <conditionalFormatting sqref="D84:D85">
    <cfRule type="duplicateValues" dxfId="109" priority="547"/>
    <cfRule type="duplicateValues" dxfId="108" priority="548"/>
  </conditionalFormatting>
  <conditionalFormatting sqref="D86">
    <cfRule type="duplicateValues" dxfId="107" priority="543"/>
    <cfRule type="duplicateValues" dxfId="106" priority="544"/>
    <cfRule type="duplicateValues" dxfId="105" priority="545"/>
    <cfRule type="duplicateValues" dxfId="104" priority="546"/>
  </conditionalFormatting>
  <conditionalFormatting sqref="D87">
    <cfRule type="duplicateValues" dxfId="103" priority="528"/>
    <cfRule type="duplicateValues" dxfId="102" priority="529"/>
    <cfRule type="duplicateValues" dxfId="101" priority="530"/>
    <cfRule type="duplicateValues" dxfId="100" priority="531"/>
    <cfRule type="duplicateValues" dxfId="99" priority="532"/>
    <cfRule type="duplicateValues" dxfId="98" priority="533"/>
    <cfRule type="duplicateValues" dxfId="97" priority="534"/>
    <cfRule type="duplicateValues" dxfId="96" priority="535"/>
    <cfRule type="duplicateValues" dxfId="95" priority="536"/>
    <cfRule type="duplicateValues" dxfId="94" priority="537"/>
    <cfRule type="duplicateValues" dxfId="93" priority="538"/>
    <cfRule type="duplicateValues" dxfId="92" priority="539"/>
    <cfRule type="duplicateValues" dxfId="91" priority="540"/>
    <cfRule type="duplicateValues" dxfId="90" priority="541"/>
    <cfRule type="duplicateValues" dxfId="89" priority="542"/>
  </conditionalFormatting>
  <conditionalFormatting sqref="D88">
    <cfRule type="duplicateValues" dxfId="88" priority="525"/>
    <cfRule type="duplicateValues" dxfId="87" priority="526"/>
    <cfRule type="duplicateValues" dxfId="86" priority="527"/>
  </conditionalFormatting>
  <conditionalFormatting sqref="D106">
    <cfRule type="duplicateValues" dxfId="85" priority="512"/>
  </conditionalFormatting>
  <conditionalFormatting sqref="B72">
    <cfRule type="duplicateValues" dxfId="84" priority="1"/>
    <cfRule type="duplicateValues" dxfId="83" priority="2"/>
    <cfRule type="duplicateValues" dxfId="82" priority="3"/>
    <cfRule type="duplicateValues" dxfId="81" priority="4"/>
    <cfRule type="duplicateValues" dxfId="80" priority="5"/>
  </conditionalFormatting>
  <conditionalFormatting sqref="B72">
    <cfRule type="duplicateValues" dxfId="79" priority="6"/>
  </conditionalFormatting>
  <pageMargins left="0.7" right="0.7" top="0.75" bottom="0.75" header="0.3" footer="0.3"/>
  <pageSetup orientation="portrait" r:id="rId1"/>
  <headerFooter>
    <oddFooter>&amp;C_x000D_&amp;1#&amp;"Calibri"&amp;8&amp;K000000 Sensitivity: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590E-47AE-4CEC-BBF5-0077F9AFB51E}">
  <dimension ref="B2:M12"/>
  <sheetViews>
    <sheetView workbookViewId="0">
      <selection activeCell="O6" sqref="O6"/>
    </sheetView>
  </sheetViews>
  <sheetFormatPr defaultRowHeight="15"/>
  <cols>
    <col min="3" max="3" width="11" customWidth="1"/>
    <col min="4" max="4" width="16.5703125" customWidth="1"/>
    <col min="5" max="5" width="17.85546875" customWidth="1"/>
    <col min="6" max="6" width="17" customWidth="1"/>
    <col min="7" max="7" width="11.140625" customWidth="1"/>
    <col min="8" max="8" width="10.140625" customWidth="1"/>
    <col min="9" max="9" width="12.140625" customWidth="1"/>
  </cols>
  <sheetData>
    <row r="2" spans="2:13" ht="90">
      <c r="B2" s="121" t="s">
        <v>141</v>
      </c>
      <c r="C2" s="124" t="s">
        <v>1207</v>
      </c>
      <c r="D2" s="121" t="s">
        <v>1199</v>
      </c>
      <c r="E2" s="121" t="s">
        <v>1200</v>
      </c>
      <c r="F2" s="121" t="s">
        <v>1201</v>
      </c>
      <c r="G2" s="121" t="s">
        <v>1205</v>
      </c>
      <c r="H2" s="121" t="s">
        <v>1206</v>
      </c>
      <c r="I2" s="121" t="s">
        <v>1196</v>
      </c>
      <c r="J2" s="121" t="s">
        <v>1202</v>
      </c>
      <c r="K2" s="121" t="s">
        <v>1203</v>
      </c>
      <c r="L2" s="121" t="s">
        <v>1204</v>
      </c>
      <c r="M2" s="121" t="s">
        <v>1197</v>
      </c>
    </row>
    <row r="3" spans="2:13">
      <c r="B3" s="120" t="s">
        <v>27</v>
      </c>
      <c r="C3" s="120">
        <v>13</v>
      </c>
      <c r="D3" s="119">
        <v>5</v>
      </c>
      <c r="E3" s="119">
        <v>2</v>
      </c>
      <c r="F3" s="119">
        <v>5</v>
      </c>
      <c r="G3" s="119">
        <v>2</v>
      </c>
      <c r="H3" s="119">
        <v>0</v>
      </c>
      <c r="I3" s="119">
        <v>0</v>
      </c>
      <c r="J3" s="119">
        <v>8</v>
      </c>
      <c r="K3" s="119">
        <v>2</v>
      </c>
      <c r="L3" s="119">
        <v>9</v>
      </c>
      <c r="M3" s="119">
        <v>5</v>
      </c>
    </row>
    <row r="4" spans="2:13">
      <c r="B4" s="120" t="s">
        <v>47</v>
      </c>
      <c r="C4" s="120">
        <v>15</v>
      </c>
      <c r="D4" s="119">
        <v>4</v>
      </c>
      <c r="E4" s="119">
        <v>3</v>
      </c>
      <c r="F4" s="119">
        <v>6</v>
      </c>
      <c r="G4" s="119">
        <v>2</v>
      </c>
      <c r="H4" s="119">
        <v>0</v>
      </c>
      <c r="I4" s="119">
        <v>0</v>
      </c>
      <c r="J4" s="119">
        <v>10</v>
      </c>
      <c r="K4" s="119">
        <v>1</v>
      </c>
      <c r="L4" s="119">
        <v>7</v>
      </c>
      <c r="M4" s="119">
        <v>5</v>
      </c>
    </row>
    <row r="5" spans="2:13">
      <c r="B5" s="120" t="s">
        <v>58</v>
      </c>
      <c r="C5" s="120">
        <v>20</v>
      </c>
      <c r="D5" s="119">
        <v>4</v>
      </c>
      <c r="E5" s="119">
        <v>2</v>
      </c>
      <c r="F5" s="119">
        <v>2</v>
      </c>
      <c r="G5" s="119">
        <v>2</v>
      </c>
      <c r="H5" s="119">
        <v>0</v>
      </c>
      <c r="I5" s="119">
        <v>2</v>
      </c>
      <c r="J5" s="119">
        <v>15</v>
      </c>
      <c r="K5" s="119">
        <v>1</v>
      </c>
      <c r="L5" s="119">
        <v>12</v>
      </c>
      <c r="M5" s="119">
        <v>5</v>
      </c>
    </row>
    <row r="6" spans="2:13">
      <c r="B6" s="120" t="s">
        <v>77</v>
      </c>
      <c r="C6" s="120">
        <v>20</v>
      </c>
      <c r="D6" s="119">
        <v>8</v>
      </c>
      <c r="E6" s="119">
        <v>0</v>
      </c>
      <c r="F6" s="119">
        <v>9</v>
      </c>
      <c r="G6" s="119">
        <v>2</v>
      </c>
      <c r="H6" s="119">
        <v>0</v>
      </c>
      <c r="I6" s="119">
        <v>0</v>
      </c>
      <c r="J6" s="119">
        <v>12</v>
      </c>
      <c r="K6" s="119">
        <v>2</v>
      </c>
      <c r="L6" s="119">
        <v>8</v>
      </c>
      <c r="M6" s="119">
        <v>5</v>
      </c>
    </row>
    <row r="7" spans="2:13">
      <c r="B7" s="120" t="s">
        <v>94</v>
      </c>
      <c r="C7" s="120">
        <v>17</v>
      </c>
      <c r="D7" s="119">
        <v>3</v>
      </c>
      <c r="E7" s="119">
        <v>1</v>
      </c>
      <c r="F7" s="119">
        <v>3</v>
      </c>
      <c r="G7" s="119">
        <v>2</v>
      </c>
      <c r="H7" s="119">
        <v>0</v>
      </c>
      <c r="I7" s="119">
        <v>0</v>
      </c>
      <c r="J7" s="119">
        <v>9</v>
      </c>
      <c r="K7" s="119">
        <v>1</v>
      </c>
      <c r="L7" s="119">
        <v>12</v>
      </c>
      <c r="M7" s="119">
        <v>5</v>
      </c>
    </row>
    <row r="8" spans="2:13">
      <c r="B8" s="120" t="s">
        <v>402</v>
      </c>
      <c r="C8" s="120">
        <v>14</v>
      </c>
      <c r="D8" s="119">
        <v>4</v>
      </c>
      <c r="E8" s="119">
        <v>1</v>
      </c>
      <c r="F8" s="119">
        <v>4</v>
      </c>
      <c r="G8" s="119">
        <v>2</v>
      </c>
      <c r="H8" s="119">
        <v>0</v>
      </c>
      <c r="I8" s="119">
        <v>0</v>
      </c>
      <c r="J8" s="119">
        <v>5</v>
      </c>
      <c r="K8" s="119">
        <v>1</v>
      </c>
      <c r="L8" s="119">
        <v>5</v>
      </c>
      <c r="M8" s="119">
        <v>5</v>
      </c>
    </row>
    <row r="9" spans="2:13">
      <c r="B9" s="120" t="s">
        <v>331</v>
      </c>
      <c r="C9" s="120">
        <v>12</v>
      </c>
      <c r="D9" s="119">
        <v>0</v>
      </c>
      <c r="E9" s="119">
        <v>1</v>
      </c>
      <c r="F9" s="119">
        <v>0</v>
      </c>
      <c r="G9" s="119">
        <v>2</v>
      </c>
      <c r="H9" s="119">
        <v>0</v>
      </c>
      <c r="I9" s="119">
        <v>0</v>
      </c>
      <c r="J9" s="119">
        <v>0</v>
      </c>
      <c r="K9" s="119">
        <v>2</v>
      </c>
      <c r="L9" s="119">
        <v>0</v>
      </c>
      <c r="M9" s="119">
        <v>5</v>
      </c>
    </row>
    <row r="10" spans="2:13">
      <c r="B10" s="120" t="s">
        <v>326</v>
      </c>
      <c r="C10" s="120">
        <v>10</v>
      </c>
      <c r="D10" s="119">
        <v>4</v>
      </c>
      <c r="E10" s="119">
        <v>2</v>
      </c>
      <c r="F10" s="119">
        <v>0</v>
      </c>
      <c r="G10" s="119">
        <v>1</v>
      </c>
      <c r="H10" s="119">
        <v>0</v>
      </c>
      <c r="I10" s="119">
        <v>0</v>
      </c>
      <c r="J10" s="119">
        <v>7</v>
      </c>
      <c r="K10" s="119">
        <v>2</v>
      </c>
      <c r="L10" s="119">
        <v>0</v>
      </c>
      <c r="M10" s="119">
        <v>5</v>
      </c>
    </row>
    <row r="11" spans="2:13">
      <c r="B11" s="120" t="s">
        <v>403</v>
      </c>
      <c r="C11" s="120">
        <v>9</v>
      </c>
      <c r="D11" s="119">
        <v>0</v>
      </c>
      <c r="E11" s="119">
        <v>1</v>
      </c>
      <c r="F11" s="119">
        <v>3</v>
      </c>
      <c r="G11" s="119">
        <v>1</v>
      </c>
      <c r="H11" s="119">
        <v>0</v>
      </c>
      <c r="I11" s="119">
        <v>0</v>
      </c>
      <c r="J11" s="119">
        <v>0</v>
      </c>
      <c r="K11" s="119">
        <v>1</v>
      </c>
      <c r="L11" s="119">
        <v>9</v>
      </c>
      <c r="M11" s="119">
        <v>5</v>
      </c>
    </row>
    <row r="12" spans="2:13">
      <c r="B12" s="122" t="s">
        <v>1198</v>
      </c>
      <c r="C12" s="122">
        <f>SUM(C3:C11)</f>
        <v>130</v>
      </c>
      <c r="D12" s="123">
        <f>SUM(D3:D11)</f>
        <v>32</v>
      </c>
      <c r="E12" s="123">
        <f t="shared" ref="E12:M12" si="0">SUM(E3:E11)</f>
        <v>13</v>
      </c>
      <c r="F12" s="123">
        <f t="shared" si="0"/>
        <v>32</v>
      </c>
      <c r="G12" s="123">
        <f t="shared" si="0"/>
        <v>16</v>
      </c>
      <c r="H12" s="123">
        <f t="shared" si="0"/>
        <v>0</v>
      </c>
      <c r="I12" s="123">
        <f t="shared" si="0"/>
        <v>2</v>
      </c>
      <c r="J12" s="123">
        <f t="shared" si="0"/>
        <v>66</v>
      </c>
      <c r="K12" s="123">
        <f t="shared" si="0"/>
        <v>13</v>
      </c>
      <c r="L12" s="123">
        <f t="shared" si="0"/>
        <v>62</v>
      </c>
      <c r="M12" s="123">
        <f t="shared" si="0"/>
        <v>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331F3-D7A6-494E-AB24-C30406CDB52A}">
  <dimension ref="B2:N3"/>
  <sheetViews>
    <sheetView workbookViewId="0">
      <selection activeCell="N3" sqref="N3"/>
    </sheetView>
  </sheetViews>
  <sheetFormatPr defaultRowHeight="15"/>
  <cols>
    <col min="4" max="4" width="11" bestFit="1" customWidth="1"/>
    <col min="5" max="5" width="15.28515625" bestFit="1" customWidth="1"/>
    <col min="7" max="7" width="7.42578125" bestFit="1" customWidth="1"/>
    <col min="8" max="8" width="12.7109375" bestFit="1" customWidth="1"/>
    <col min="10" max="10" width="23.7109375" bestFit="1" customWidth="1"/>
    <col min="11" max="12" width="18.85546875" customWidth="1"/>
    <col min="13" max="13" width="10.85546875" bestFit="1" customWidth="1"/>
  </cols>
  <sheetData>
    <row r="2" spans="2:14">
      <c r="B2" s="71" t="s">
        <v>1</v>
      </c>
      <c r="C2" s="71" t="s">
        <v>2</v>
      </c>
      <c r="D2" s="71" t="s">
        <v>3</v>
      </c>
      <c r="E2" s="71" t="s">
        <v>4</v>
      </c>
      <c r="F2" s="71" t="s">
        <v>256</v>
      </c>
      <c r="G2" s="71" t="s">
        <v>141</v>
      </c>
      <c r="H2" s="106" t="s">
        <v>1093</v>
      </c>
      <c r="I2" s="106" t="s">
        <v>307</v>
      </c>
      <c r="J2" s="106" t="s">
        <v>1094</v>
      </c>
      <c r="K2" s="106" t="s">
        <v>316</v>
      </c>
      <c r="L2" s="106" t="s">
        <v>141</v>
      </c>
      <c r="M2" s="106" t="s">
        <v>1095</v>
      </c>
      <c r="N2" s="71" t="s">
        <v>310</v>
      </c>
    </row>
    <row r="3" spans="2:14" ht="36">
      <c r="B3" s="78">
        <v>6644</v>
      </c>
      <c r="C3" s="79" t="s">
        <v>25</v>
      </c>
      <c r="D3" s="79">
        <v>1313088456</v>
      </c>
      <c r="E3" s="80" t="s">
        <v>26</v>
      </c>
      <c r="F3" s="81" t="s">
        <v>171</v>
      </c>
      <c r="G3" s="82" t="s">
        <v>27</v>
      </c>
      <c r="H3" s="83"/>
      <c r="I3" s="83"/>
      <c r="J3" s="83"/>
      <c r="K3" s="83"/>
      <c r="L3" s="83"/>
      <c r="M3" s="83"/>
      <c r="N3" s="83"/>
    </row>
  </sheetData>
  <conditionalFormatting sqref="B3">
    <cfRule type="duplicateValues" dxfId="78" priority="15"/>
    <cfRule type="duplicateValues" dxfId="77" priority="16"/>
    <cfRule type="duplicateValues" dxfId="76" priority="17"/>
    <cfRule type="duplicateValues" dxfId="75" priority="18"/>
    <cfRule type="duplicateValues" dxfId="74" priority="19"/>
    <cfRule type="duplicateValues" dxfId="73" priority="20"/>
    <cfRule type="duplicateValues" dxfId="72" priority="21"/>
    <cfRule type="duplicateValues" dxfId="71" priority="22"/>
    <cfRule type="duplicateValues" dxfId="70" priority="23"/>
    <cfRule type="duplicateValues" dxfId="69" priority="24"/>
    <cfRule type="duplicateValues" dxfId="68" priority="25"/>
    <cfRule type="duplicateValues" dxfId="67" priority="26"/>
    <cfRule type="duplicateValues" dxfId="66" priority="27"/>
    <cfRule type="duplicateValues" dxfId="65" priority="28"/>
    <cfRule type="duplicateValues" dxfId="64" priority="29"/>
    <cfRule type="duplicateValues" dxfId="63" priority="30"/>
    <cfRule type="duplicateValues" dxfId="62" priority="31"/>
    <cfRule type="duplicateValues" dxfId="61" priority="32"/>
    <cfRule type="duplicateValues" dxfId="60" priority="33"/>
    <cfRule type="duplicateValues" dxfId="59" priority="34"/>
    <cfRule type="duplicateValues" dxfId="58" priority="35"/>
    <cfRule type="duplicateValues" dxfId="57" priority="36"/>
    <cfRule type="duplicateValues" dxfId="56" priority="37"/>
    <cfRule type="duplicateValues" dxfId="55" priority="38"/>
    <cfRule type="duplicateValues" dxfId="54" priority="39"/>
    <cfRule type="duplicateValues" dxfId="53" priority="40"/>
    <cfRule type="duplicateValues" dxfId="52" priority="41"/>
    <cfRule type="duplicateValues" dxfId="51" priority="42"/>
    <cfRule type="duplicateValues" dxfId="50" priority="43"/>
    <cfRule type="duplicateValues" dxfId="49" priority="44"/>
    <cfRule type="duplicateValues" dxfId="48" priority="45"/>
    <cfRule type="duplicateValues" dxfId="47" priority="46"/>
    <cfRule type="duplicateValues" dxfId="46" priority="47"/>
    <cfRule type="duplicateValues" dxfId="45" priority="48"/>
    <cfRule type="duplicateValues" dxfId="44" priority="49"/>
    <cfRule type="duplicateValues" dxfId="43" priority="51"/>
  </conditionalFormatting>
  <conditionalFormatting sqref="C3">
    <cfRule type="duplicateValues" dxfId="42" priority="52"/>
  </conditionalFormatting>
  <conditionalFormatting sqref="D3">
    <cfRule type="duplicateValues" dxfId="41" priority="1"/>
    <cfRule type="duplicateValues" dxfId="40" priority="2"/>
    <cfRule type="duplicateValues" dxfId="39" priority="3"/>
    <cfRule type="duplicateValues" dxfId="38" priority="4"/>
    <cfRule type="duplicateValues" dxfId="37" priority="5"/>
    <cfRule type="duplicateValues" dxfId="36" priority="6"/>
    <cfRule type="duplicateValues" dxfId="35" priority="7"/>
    <cfRule type="duplicateValues" dxfId="34" priority="8"/>
    <cfRule type="duplicateValues" dxfId="33" priority="9"/>
    <cfRule type="duplicateValues" dxfId="32" priority="10"/>
    <cfRule type="duplicateValues" dxfId="31" priority="11"/>
    <cfRule type="duplicateValues" dxfId="30" priority="12"/>
    <cfRule type="duplicateValues" dxfId="29" priority="13"/>
    <cfRule type="duplicateValues" dxfId="28" priority="14"/>
    <cfRule type="duplicateValues" dxfId="27" priority="50"/>
    <cfRule type="duplicateValues" dxfId="26" priority="53"/>
    <cfRule type="duplicateValues" dxfId="25" priority="5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2E320-5B3A-425E-873B-79075178F8B7}">
  <dimension ref="B2:P3"/>
  <sheetViews>
    <sheetView topLeftCell="E1" workbookViewId="0">
      <selection activeCell="O9" sqref="O9"/>
    </sheetView>
  </sheetViews>
  <sheetFormatPr defaultRowHeight="15"/>
  <cols>
    <col min="3" max="3" width="14" bestFit="1" customWidth="1"/>
    <col min="4" max="4" width="11" bestFit="1" customWidth="1"/>
    <col min="5" max="5" width="15.85546875" bestFit="1" customWidth="1"/>
    <col min="7" max="7" width="12.7109375" customWidth="1"/>
    <col min="8" max="8" width="18.42578125" bestFit="1" customWidth="1"/>
    <col min="10" max="10" width="15.7109375" bestFit="1" customWidth="1"/>
    <col min="11" max="11" width="10.140625" bestFit="1" customWidth="1"/>
    <col min="12" max="12" width="21.5703125" bestFit="1" customWidth="1"/>
    <col min="13" max="13" width="11.28515625" customWidth="1"/>
    <col min="14" max="15" width="17.140625" bestFit="1" customWidth="1"/>
  </cols>
  <sheetData>
    <row r="2" spans="2:16">
      <c r="B2" s="71" t="s">
        <v>1</v>
      </c>
      <c r="C2" s="71" t="s">
        <v>2</v>
      </c>
      <c r="D2" s="71" t="s">
        <v>3</v>
      </c>
      <c r="E2" s="71" t="s">
        <v>4</v>
      </c>
      <c r="F2" s="71" t="s">
        <v>256</v>
      </c>
      <c r="G2" s="71" t="s">
        <v>141</v>
      </c>
      <c r="H2" s="106" t="s">
        <v>306</v>
      </c>
      <c r="I2" s="106" t="s">
        <v>307</v>
      </c>
      <c r="J2" s="106" t="s">
        <v>308</v>
      </c>
      <c r="K2" s="106" t="s">
        <v>309</v>
      </c>
      <c r="L2" s="71" t="s">
        <v>310</v>
      </c>
      <c r="M2" s="71" t="s">
        <v>311</v>
      </c>
      <c r="N2" s="71" t="s">
        <v>312</v>
      </c>
      <c r="O2" s="71" t="s">
        <v>313</v>
      </c>
      <c r="P2" s="71" t="s">
        <v>1209</v>
      </c>
    </row>
    <row r="3" spans="2:16">
      <c r="B3" s="104">
        <v>8870</v>
      </c>
      <c r="C3" s="31" t="s">
        <v>34</v>
      </c>
      <c r="D3" s="31">
        <v>1313088096</v>
      </c>
      <c r="E3" s="30" t="s">
        <v>35</v>
      </c>
      <c r="F3" s="26" t="s">
        <v>171</v>
      </c>
      <c r="G3" s="36" t="s">
        <v>27</v>
      </c>
      <c r="H3" s="83" t="s">
        <v>17</v>
      </c>
      <c r="I3" s="83" t="s">
        <v>409</v>
      </c>
      <c r="J3" s="83" t="s">
        <v>405</v>
      </c>
      <c r="K3" s="125">
        <v>46113</v>
      </c>
      <c r="L3" s="125"/>
      <c r="M3" s="83" t="s">
        <v>1208</v>
      </c>
      <c r="N3" s="125">
        <v>46112</v>
      </c>
      <c r="O3" s="125">
        <v>46113</v>
      </c>
      <c r="P3" s="26"/>
    </row>
  </sheetData>
  <conditionalFormatting sqref="B3">
    <cfRule type="duplicateValues" dxfId="24" priority="11"/>
  </conditionalFormatting>
  <conditionalFormatting sqref="B3">
    <cfRule type="duplicateValues" dxfId="23" priority="12"/>
  </conditionalFormatting>
  <conditionalFormatting sqref="C3">
    <cfRule type="duplicateValues" dxfId="22" priority="8"/>
  </conditionalFormatting>
  <conditionalFormatting sqref="D3">
    <cfRule type="duplicateValues" dxfId="21" priority="9"/>
  </conditionalFormatting>
  <conditionalFormatting sqref="D3">
    <cfRule type="duplicateValues" dxfId="20" priority="1"/>
  </conditionalFormatting>
  <conditionalFormatting sqref="D3">
    <cfRule type="duplicateValues" dxfId="19" priority="3"/>
    <cfRule type="duplicateValues" dxfId="18" priority="4"/>
    <cfRule type="duplicateValues" dxfId="17" priority="5"/>
  </conditionalFormatting>
  <conditionalFormatting sqref="D3">
    <cfRule type="duplicateValues" dxfId="16" priority="6"/>
    <cfRule type="duplicateValues" dxfId="15" priority="7"/>
  </conditionalFormatting>
  <conditionalFormatting sqref="D3">
    <cfRule type="duplicateValues" dxfId="14" priority="10"/>
  </conditionalFormatting>
  <conditionalFormatting sqref="D3">
    <cfRule type="duplicateValues" dxfId="13" priority="2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35FAD-AA1B-402E-A762-902FA1E35AB4}">
  <dimension ref="B2:V5"/>
  <sheetViews>
    <sheetView zoomScale="85" zoomScaleNormal="85" workbookViewId="0">
      <selection activeCell="T12" sqref="T12"/>
    </sheetView>
  </sheetViews>
  <sheetFormatPr defaultRowHeight="15"/>
  <cols>
    <col min="2" max="2" width="15.5703125" bestFit="1" customWidth="1"/>
  </cols>
  <sheetData>
    <row r="2" spans="2:22" ht="48">
      <c r="B2" s="28" t="s">
        <v>170</v>
      </c>
      <c r="C2" s="29" t="s">
        <v>17</v>
      </c>
      <c r="D2" s="29" t="s">
        <v>5</v>
      </c>
      <c r="E2" s="29" t="s">
        <v>6</v>
      </c>
      <c r="F2" s="24" t="s">
        <v>8</v>
      </c>
      <c r="G2" s="24" t="s">
        <v>7</v>
      </c>
      <c r="H2" s="24" t="s">
        <v>9</v>
      </c>
      <c r="I2" s="24" t="s">
        <v>10</v>
      </c>
      <c r="J2" s="24" t="s">
        <v>11</v>
      </c>
      <c r="K2" s="24" t="s">
        <v>18</v>
      </c>
      <c r="L2" s="24" t="s">
        <v>19</v>
      </c>
      <c r="M2" s="29" t="s">
        <v>15</v>
      </c>
      <c r="N2" s="24" t="s">
        <v>12</v>
      </c>
      <c r="O2" s="24" t="s">
        <v>20</v>
      </c>
      <c r="P2" s="24" t="s">
        <v>21</v>
      </c>
      <c r="Q2" s="25" t="s">
        <v>13</v>
      </c>
      <c r="R2" s="25" t="s">
        <v>14</v>
      </c>
      <c r="S2" s="25" t="s">
        <v>16</v>
      </c>
      <c r="T2" s="24" t="s">
        <v>22</v>
      </c>
      <c r="U2" s="24" t="s">
        <v>23</v>
      </c>
      <c r="V2" s="24" t="s">
        <v>24</v>
      </c>
    </row>
    <row r="3" spans="2:22">
      <c r="B3" t="s">
        <v>171</v>
      </c>
      <c r="C3">
        <v>1</v>
      </c>
      <c r="D3">
        <v>1</v>
      </c>
      <c r="E3">
        <v>1</v>
      </c>
      <c r="M3">
        <v>1</v>
      </c>
    </row>
    <row r="4" spans="2:22">
      <c r="B4" t="s">
        <v>172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M4">
        <v>1</v>
      </c>
    </row>
    <row r="5" spans="2:22">
      <c r="B5" t="s">
        <v>314</v>
      </c>
      <c r="C5">
        <v>1</v>
      </c>
      <c r="D5">
        <v>1</v>
      </c>
      <c r="E5">
        <v>1</v>
      </c>
      <c r="K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314B-EF70-450F-9160-F340B29B1221}">
  <dimension ref="B2:K132"/>
  <sheetViews>
    <sheetView workbookViewId="0">
      <selection activeCell="B3" sqref="B3:B132"/>
    </sheetView>
  </sheetViews>
  <sheetFormatPr defaultRowHeight="15"/>
  <cols>
    <col min="2" max="3" width="9.140625" bestFit="1" customWidth="1"/>
    <col min="4" max="4" width="24" bestFit="1" customWidth="1"/>
    <col min="5" max="5" width="19.7109375" bestFit="1" customWidth="1"/>
    <col min="7" max="7" width="11" bestFit="1" customWidth="1"/>
    <col min="8" max="8" width="10.28515625" bestFit="1" customWidth="1"/>
    <col min="9" max="9" width="11.28515625" customWidth="1"/>
    <col min="10" max="10" width="16.7109375" bestFit="1" customWidth="1"/>
    <col min="11" max="11" width="11.5703125" bestFit="1" customWidth="1"/>
  </cols>
  <sheetData>
    <row r="2" spans="2:11" ht="22.5">
      <c r="B2" s="72" t="s">
        <v>315</v>
      </c>
      <c r="C2" s="73" t="s">
        <v>316</v>
      </c>
      <c r="D2" s="74" t="s">
        <v>2</v>
      </c>
      <c r="E2" s="75" t="s">
        <v>4</v>
      </c>
      <c r="F2" s="75" t="s">
        <v>317</v>
      </c>
      <c r="G2" s="76" t="s">
        <v>318</v>
      </c>
      <c r="H2" s="75" t="s">
        <v>319</v>
      </c>
      <c r="I2" s="75" t="s">
        <v>320</v>
      </c>
      <c r="J2" s="75" t="s">
        <v>321</v>
      </c>
      <c r="K2" s="77" t="s">
        <v>322</v>
      </c>
    </row>
    <row r="3" spans="2:11">
      <c r="B3" s="84">
        <v>1</v>
      </c>
      <c r="C3" s="98">
        <v>12025</v>
      </c>
      <c r="D3" s="84" t="s">
        <v>131</v>
      </c>
      <c r="E3" s="84" t="s">
        <v>323</v>
      </c>
      <c r="F3" s="85" t="s">
        <v>324</v>
      </c>
      <c r="G3" s="86">
        <v>1313088121</v>
      </c>
      <c r="H3" s="87" t="s">
        <v>325</v>
      </c>
      <c r="I3" s="88" t="s">
        <v>326</v>
      </c>
      <c r="J3" s="88" t="s">
        <v>327</v>
      </c>
      <c r="K3" s="89">
        <v>46043</v>
      </c>
    </row>
    <row r="4" spans="2:11">
      <c r="B4" s="84">
        <v>2</v>
      </c>
      <c r="C4" s="98">
        <v>11981</v>
      </c>
      <c r="D4" s="84" t="s">
        <v>330</v>
      </c>
      <c r="E4" s="84" t="s">
        <v>26</v>
      </c>
      <c r="F4" s="85" t="s">
        <v>324</v>
      </c>
      <c r="G4" s="86">
        <v>1883444587</v>
      </c>
      <c r="H4" s="87" t="s">
        <v>325</v>
      </c>
      <c r="I4" s="88" t="s">
        <v>331</v>
      </c>
      <c r="J4" s="88" t="s">
        <v>332</v>
      </c>
      <c r="K4" s="89">
        <v>46034</v>
      </c>
    </row>
    <row r="5" spans="2:11">
      <c r="B5" s="84">
        <v>3</v>
      </c>
      <c r="C5" s="98">
        <v>11927</v>
      </c>
      <c r="D5" s="84" t="s">
        <v>334</v>
      </c>
      <c r="E5" s="84" t="s">
        <v>44</v>
      </c>
      <c r="F5" s="85" t="s">
        <v>324</v>
      </c>
      <c r="G5" s="86">
        <v>1826800383</v>
      </c>
      <c r="H5" s="87" t="s">
        <v>325</v>
      </c>
      <c r="I5" s="88" t="s">
        <v>331</v>
      </c>
      <c r="J5" s="88" t="s">
        <v>332</v>
      </c>
      <c r="K5" s="89">
        <v>46023</v>
      </c>
    </row>
    <row r="6" spans="2:11">
      <c r="B6" s="84">
        <v>4</v>
      </c>
      <c r="C6" s="99">
        <v>11899</v>
      </c>
      <c r="D6" s="87" t="s">
        <v>338</v>
      </c>
      <c r="E6" s="90" t="s">
        <v>35</v>
      </c>
      <c r="F6" s="85" t="s">
        <v>324</v>
      </c>
      <c r="G6" s="87">
        <v>1313088467</v>
      </c>
      <c r="H6" s="88" t="s">
        <v>325</v>
      </c>
      <c r="I6" s="88" t="s">
        <v>331</v>
      </c>
      <c r="J6" s="84" t="s">
        <v>339</v>
      </c>
      <c r="K6" s="89">
        <v>46009</v>
      </c>
    </row>
    <row r="7" spans="2:11" ht="25.5">
      <c r="B7" s="84">
        <v>5</v>
      </c>
      <c r="C7" s="99">
        <v>11902</v>
      </c>
      <c r="D7" s="87" t="s">
        <v>340</v>
      </c>
      <c r="E7" s="92" t="s">
        <v>341</v>
      </c>
      <c r="F7" s="85" t="s">
        <v>324</v>
      </c>
      <c r="G7" s="87">
        <v>1313438687</v>
      </c>
      <c r="H7" s="88" t="s">
        <v>328</v>
      </c>
      <c r="I7" s="92" t="s">
        <v>77</v>
      </c>
      <c r="J7" s="91" t="s">
        <v>342</v>
      </c>
      <c r="K7" s="89">
        <v>46005</v>
      </c>
    </row>
    <row r="8" spans="2:11">
      <c r="B8" s="84">
        <v>6</v>
      </c>
      <c r="C8" s="99">
        <v>11901</v>
      </c>
      <c r="D8" s="87" t="s">
        <v>344</v>
      </c>
      <c r="E8" s="92" t="s">
        <v>335</v>
      </c>
      <c r="F8" s="85" t="s">
        <v>324</v>
      </c>
      <c r="G8" s="87">
        <v>1313088464</v>
      </c>
      <c r="H8" s="88" t="s">
        <v>328</v>
      </c>
      <c r="I8" s="92" t="s">
        <v>77</v>
      </c>
      <c r="J8" s="92" t="s">
        <v>343</v>
      </c>
      <c r="K8" s="89">
        <v>46002</v>
      </c>
    </row>
    <row r="9" spans="2:11">
      <c r="B9" s="84">
        <v>7</v>
      </c>
      <c r="C9" s="99">
        <v>11892</v>
      </c>
      <c r="D9" s="87" t="s">
        <v>345</v>
      </c>
      <c r="E9" s="92" t="s">
        <v>35</v>
      </c>
      <c r="F9" s="85" t="s">
        <v>324</v>
      </c>
      <c r="G9" s="92">
        <v>1737377769</v>
      </c>
      <c r="H9" s="88" t="s">
        <v>328</v>
      </c>
      <c r="I9" s="92" t="s">
        <v>77</v>
      </c>
      <c r="J9" s="92" t="s">
        <v>343</v>
      </c>
      <c r="K9" s="89">
        <v>46000</v>
      </c>
    </row>
    <row r="10" spans="2:11">
      <c r="B10" s="84">
        <v>8</v>
      </c>
      <c r="C10" s="99">
        <v>11871</v>
      </c>
      <c r="D10" s="87" t="s">
        <v>346</v>
      </c>
      <c r="E10" s="87" t="s">
        <v>347</v>
      </c>
      <c r="F10" s="85" t="s">
        <v>324</v>
      </c>
      <c r="G10" s="86">
        <v>1313438555</v>
      </c>
      <c r="H10" s="87" t="s">
        <v>328</v>
      </c>
      <c r="I10" s="88" t="s">
        <v>47</v>
      </c>
      <c r="J10" s="88" t="s">
        <v>329</v>
      </c>
      <c r="K10" s="89">
        <v>45981</v>
      </c>
    </row>
    <row r="11" spans="2:11">
      <c r="B11" s="84">
        <v>9</v>
      </c>
      <c r="C11" s="99">
        <v>11872</v>
      </c>
      <c r="D11" s="87" t="s">
        <v>348</v>
      </c>
      <c r="E11" s="87" t="s">
        <v>118</v>
      </c>
      <c r="F11" s="85" t="s">
        <v>324</v>
      </c>
      <c r="G11" s="86">
        <v>1313088248</v>
      </c>
      <c r="H11" s="87" t="s">
        <v>328</v>
      </c>
      <c r="I11" s="88" t="s">
        <v>47</v>
      </c>
      <c r="J11" s="88" t="s">
        <v>329</v>
      </c>
      <c r="K11" s="89">
        <v>45981</v>
      </c>
    </row>
    <row r="12" spans="2:11">
      <c r="B12" s="84">
        <v>10</v>
      </c>
      <c r="C12" s="99">
        <v>11869</v>
      </c>
      <c r="D12" s="87" t="s">
        <v>349</v>
      </c>
      <c r="E12" s="87" t="s">
        <v>118</v>
      </c>
      <c r="F12" s="85" t="s">
        <v>324</v>
      </c>
      <c r="G12" s="86">
        <v>1313088376</v>
      </c>
      <c r="H12" s="87" t="s">
        <v>328</v>
      </c>
      <c r="I12" s="88" t="s">
        <v>58</v>
      </c>
      <c r="J12" s="88" t="s">
        <v>350</v>
      </c>
      <c r="K12" s="89">
        <v>45980</v>
      </c>
    </row>
    <row r="13" spans="2:11">
      <c r="B13" s="84">
        <v>11</v>
      </c>
      <c r="C13" s="99">
        <v>11866</v>
      </c>
      <c r="D13" s="87" t="s">
        <v>351</v>
      </c>
      <c r="E13" s="87" t="s">
        <v>26</v>
      </c>
      <c r="F13" s="85" t="s">
        <v>324</v>
      </c>
      <c r="G13" s="86">
        <v>1313438534</v>
      </c>
      <c r="H13" s="87" t="s">
        <v>325</v>
      </c>
      <c r="I13" s="88" t="s">
        <v>403</v>
      </c>
      <c r="J13" s="88" t="s">
        <v>352</v>
      </c>
      <c r="K13" s="89">
        <v>45979</v>
      </c>
    </row>
    <row r="14" spans="2:11">
      <c r="B14" s="84">
        <v>12</v>
      </c>
      <c r="C14" s="99">
        <v>11842</v>
      </c>
      <c r="D14" s="87" t="s">
        <v>353</v>
      </c>
      <c r="E14" s="87" t="s">
        <v>30</v>
      </c>
      <c r="F14" s="85" t="s">
        <v>324</v>
      </c>
      <c r="G14" s="86">
        <v>1313088494</v>
      </c>
      <c r="H14" s="87" t="s">
        <v>328</v>
      </c>
      <c r="I14" s="88" t="s">
        <v>58</v>
      </c>
      <c r="J14" s="88" t="s">
        <v>350</v>
      </c>
      <c r="K14" s="89">
        <v>45952</v>
      </c>
    </row>
    <row r="15" spans="2:11">
      <c r="B15" s="84">
        <v>13</v>
      </c>
      <c r="C15" s="99">
        <v>11843</v>
      </c>
      <c r="D15" s="87" t="s">
        <v>354</v>
      </c>
      <c r="E15" s="87" t="s">
        <v>44</v>
      </c>
      <c r="F15" s="85" t="s">
        <v>324</v>
      </c>
      <c r="G15" s="86">
        <v>1313088519</v>
      </c>
      <c r="H15" s="87" t="s">
        <v>325</v>
      </c>
      <c r="I15" s="88" t="s">
        <v>326</v>
      </c>
      <c r="J15" s="88" t="s">
        <v>336</v>
      </c>
      <c r="K15" s="89">
        <v>45948</v>
      </c>
    </row>
    <row r="16" spans="2:11">
      <c r="B16" s="84">
        <v>14</v>
      </c>
      <c r="C16" s="99">
        <v>11835</v>
      </c>
      <c r="D16" s="87" t="s">
        <v>136</v>
      </c>
      <c r="E16" s="87" t="s">
        <v>26</v>
      </c>
      <c r="F16" s="85" t="s">
        <v>324</v>
      </c>
      <c r="G16" s="86">
        <v>1313088533</v>
      </c>
      <c r="H16" s="87" t="s">
        <v>325</v>
      </c>
      <c r="I16" s="88" t="s">
        <v>403</v>
      </c>
      <c r="J16" s="88" t="s">
        <v>352</v>
      </c>
      <c r="K16" s="89">
        <v>45946</v>
      </c>
    </row>
    <row r="17" spans="2:11">
      <c r="B17" s="84">
        <v>15</v>
      </c>
      <c r="C17" s="99">
        <v>11836</v>
      </c>
      <c r="D17" s="87" t="s">
        <v>355</v>
      </c>
      <c r="E17" s="87" t="s">
        <v>26</v>
      </c>
      <c r="F17" s="85" t="s">
        <v>324</v>
      </c>
      <c r="G17" s="86">
        <v>1313438598</v>
      </c>
      <c r="H17" s="87" t="s">
        <v>325</v>
      </c>
      <c r="I17" s="88" t="s">
        <v>326</v>
      </c>
      <c r="J17" s="88" t="s">
        <v>336</v>
      </c>
      <c r="K17" s="89">
        <v>45946</v>
      </c>
    </row>
    <row r="18" spans="2:11">
      <c r="B18" s="84">
        <v>16</v>
      </c>
      <c r="C18" s="100">
        <v>11839</v>
      </c>
      <c r="D18" s="87" t="s">
        <v>357</v>
      </c>
      <c r="E18" s="87" t="s">
        <v>44</v>
      </c>
      <c r="F18" s="85" t="s">
        <v>324</v>
      </c>
      <c r="G18" s="86">
        <v>1313088452</v>
      </c>
      <c r="H18" s="87" t="s">
        <v>328</v>
      </c>
      <c r="I18" s="88" t="s">
        <v>47</v>
      </c>
      <c r="J18" s="88" t="s">
        <v>329</v>
      </c>
      <c r="K18" s="89">
        <v>45944</v>
      </c>
    </row>
    <row r="19" spans="2:11">
      <c r="B19" s="84">
        <v>17</v>
      </c>
      <c r="C19" s="100">
        <v>11837</v>
      </c>
      <c r="D19" s="87" t="s">
        <v>358</v>
      </c>
      <c r="E19" s="92" t="s">
        <v>40</v>
      </c>
      <c r="F19" s="85" t="s">
        <v>324</v>
      </c>
      <c r="G19" s="86">
        <v>1313438618</v>
      </c>
      <c r="H19" s="87" t="s">
        <v>328</v>
      </c>
      <c r="I19" s="87" t="s">
        <v>27</v>
      </c>
      <c r="J19" s="87" t="s">
        <v>356</v>
      </c>
      <c r="K19" s="89">
        <v>45943</v>
      </c>
    </row>
    <row r="20" spans="2:11">
      <c r="B20" s="84">
        <v>18</v>
      </c>
      <c r="C20" s="99">
        <v>11830</v>
      </c>
      <c r="D20" s="94" t="s">
        <v>359</v>
      </c>
      <c r="E20" s="84" t="s">
        <v>30</v>
      </c>
      <c r="F20" s="85" t="s">
        <v>324</v>
      </c>
      <c r="G20" s="86">
        <v>1313088587</v>
      </c>
      <c r="H20" s="87" t="s">
        <v>328</v>
      </c>
      <c r="I20" s="88" t="s">
        <v>58</v>
      </c>
      <c r="J20" s="88" t="s">
        <v>360</v>
      </c>
      <c r="K20" s="89">
        <v>45941</v>
      </c>
    </row>
    <row r="21" spans="2:11">
      <c r="B21" s="84">
        <v>19</v>
      </c>
      <c r="C21" s="99">
        <v>11833</v>
      </c>
      <c r="D21" s="87" t="s">
        <v>361</v>
      </c>
      <c r="E21" s="87" t="s">
        <v>26</v>
      </c>
      <c r="F21" s="85" t="s">
        <v>324</v>
      </c>
      <c r="G21" s="86">
        <v>1313088535</v>
      </c>
      <c r="H21" s="87" t="s">
        <v>325</v>
      </c>
      <c r="I21" s="88" t="s">
        <v>402</v>
      </c>
      <c r="J21" s="88" t="s">
        <v>337</v>
      </c>
      <c r="K21" s="89">
        <v>45938</v>
      </c>
    </row>
    <row r="22" spans="2:11">
      <c r="B22" s="84">
        <v>20</v>
      </c>
      <c r="C22" s="99">
        <v>11832</v>
      </c>
      <c r="D22" s="87" t="s">
        <v>362</v>
      </c>
      <c r="E22" s="87" t="s">
        <v>45</v>
      </c>
      <c r="F22" s="85" t="s">
        <v>324</v>
      </c>
      <c r="G22" s="86">
        <v>1313438663</v>
      </c>
      <c r="H22" s="87" t="s">
        <v>325</v>
      </c>
      <c r="I22" s="88" t="s">
        <v>402</v>
      </c>
      <c r="J22" s="88" t="s">
        <v>337</v>
      </c>
      <c r="K22" s="89">
        <v>45936</v>
      </c>
    </row>
    <row r="23" spans="2:11">
      <c r="B23" s="84">
        <v>21</v>
      </c>
      <c r="C23" s="99">
        <v>11823</v>
      </c>
      <c r="D23" s="93" t="s">
        <v>363</v>
      </c>
      <c r="E23" s="93" t="s">
        <v>335</v>
      </c>
      <c r="F23" s="85" t="s">
        <v>324</v>
      </c>
      <c r="G23" s="86">
        <v>1313088242</v>
      </c>
      <c r="H23" s="87" t="s">
        <v>328</v>
      </c>
      <c r="I23" s="88" t="s">
        <v>47</v>
      </c>
      <c r="J23" s="88" t="s">
        <v>329</v>
      </c>
      <c r="K23" s="89">
        <v>45925</v>
      </c>
    </row>
    <row r="24" spans="2:11">
      <c r="B24" s="84">
        <v>22</v>
      </c>
      <c r="C24" s="100">
        <v>11818</v>
      </c>
      <c r="D24" s="90" t="s">
        <v>364</v>
      </c>
      <c r="E24" s="90" t="s">
        <v>42</v>
      </c>
      <c r="F24" s="85" t="s">
        <v>324</v>
      </c>
      <c r="G24" s="86">
        <v>1313088410</v>
      </c>
      <c r="H24" s="87" t="s">
        <v>328</v>
      </c>
      <c r="I24" s="88" t="s">
        <v>47</v>
      </c>
      <c r="J24" s="88" t="s">
        <v>329</v>
      </c>
      <c r="K24" s="89">
        <v>45915</v>
      </c>
    </row>
    <row r="25" spans="2:11">
      <c r="B25" s="84">
        <v>23</v>
      </c>
      <c r="C25" s="100">
        <v>11816</v>
      </c>
      <c r="D25" s="90" t="s">
        <v>365</v>
      </c>
      <c r="E25" s="90" t="s">
        <v>366</v>
      </c>
      <c r="F25" s="85" t="s">
        <v>324</v>
      </c>
      <c r="G25" s="86">
        <v>1313088566</v>
      </c>
      <c r="H25" s="87" t="s">
        <v>328</v>
      </c>
      <c r="I25" s="88" t="s">
        <v>47</v>
      </c>
      <c r="J25" s="88" t="s">
        <v>367</v>
      </c>
      <c r="K25" s="89">
        <v>45912</v>
      </c>
    </row>
    <row r="26" spans="2:11">
      <c r="B26" s="84">
        <v>24</v>
      </c>
      <c r="C26" s="101">
        <v>11794</v>
      </c>
      <c r="D26" s="84" t="s">
        <v>368</v>
      </c>
      <c r="E26" s="84" t="s">
        <v>35</v>
      </c>
      <c r="F26" s="85" t="s">
        <v>324</v>
      </c>
      <c r="G26" s="86">
        <v>1313088121</v>
      </c>
      <c r="H26" s="87" t="s">
        <v>325</v>
      </c>
      <c r="I26" s="88" t="s">
        <v>326</v>
      </c>
      <c r="J26" s="85" t="s">
        <v>369</v>
      </c>
      <c r="K26" s="89">
        <v>45899</v>
      </c>
    </row>
    <row r="27" spans="2:11">
      <c r="B27" s="84">
        <v>25</v>
      </c>
      <c r="C27" s="101">
        <v>11769</v>
      </c>
      <c r="D27" s="84" t="s">
        <v>370</v>
      </c>
      <c r="E27" s="84" t="s">
        <v>41</v>
      </c>
      <c r="F27" s="85" t="s">
        <v>324</v>
      </c>
      <c r="G27" s="86">
        <v>1313088538</v>
      </c>
      <c r="H27" s="87" t="s">
        <v>328</v>
      </c>
      <c r="I27" s="87" t="s">
        <v>27</v>
      </c>
      <c r="J27" s="85" t="s">
        <v>356</v>
      </c>
      <c r="K27" s="89">
        <v>45881</v>
      </c>
    </row>
    <row r="28" spans="2:11">
      <c r="B28" s="84">
        <v>26</v>
      </c>
      <c r="C28" s="101">
        <v>11765</v>
      </c>
      <c r="D28" s="84" t="s">
        <v>371</v>
      </c>
      <c r="E28" s="84" t="s">
        <v>41</v>
      </c>
      <c r="F28" s="85" t="s">
        <v>324</v>
      </c>
      <c r="G28" s="86">
        <v>1313438703</v>
      </c>
      <c r="H28" s="87" t="s">
        <v>328</v>
      </c>
      <c r="I28" s="88" t="s">
        <v>47</v>
      </c>
      <c r="J28" s="85" t="s">
        <v>329</v>
      </c>
      <c r="K28" s="89">
        <v>45879</v>
      </c>
    </row>
    <row r="29" spans="2:11">
      <c r="B29" s="84">
        <v>27</v>
      </c>
      <c r="C29" s="101">
        <v>11764</v>
      </c>
      <c r="D29" s="84" t="s">
        <v>372</v>
      </c>
      <c r="E29" s="84" t="s">
        <v>41</v>
      </c>
      <c r="F29" s="85" t="s">
        <v>324</v>
      </c>
      <c r="G29" s="86">
        <v>1313438662</v>
      </c>
      <c r="H29" s="87" t="s">
        <v>328</v>
      </c>
      <c r="I29" s="92" t="s">
        <v>77</v>
      </c>
      <c r="J29" s="85" t="s">
        <v>343</v>
      </c>
      <c r="K29" s="89">
        <v>45878</v>
      </c>
    </row>
    <row r="30" spans="2:11">
      <c r="B30" s="84">
        <v>28</v>
      </c>
      <c r="C30" s="101">
        <v>11746</v>
      </c>
      <c r="D30" s="84" t="s">
        <v>373</v>
      </c>
      <c r="E30" s="84" t="s">
        <v>374</v>
      </c>
      <c r="F30" s="85" t="s">
        <v>324</v>
      </c>
      <c r="G30" s="86">
        <v>1313088525</v>
      </c>
      <c r="H30" s="87" t="s">
        <v>325</v>
      </c>
      <c r="I30" s="88" t="s">
        <v>326</v>
      </c>
      <c r="J30" s="85" t="s">
        <v>336</v>
      </c>
      <c r="K30" s="89">
        <v>45871</v>
      </c>
    </row>
    <row r="31" spans="2:11">
      <c r="B31" s="84">
        <v>29</v>
      </c>
      <c r="C31" s="101">
        <v>11747</v>
      </c>
      <c r="D31" s="84" t="s">
        <v>97</v>
      </c>
      <c r="E31" s="84" t="s">
        <v>26</v>
      </c>
      <c r="F31" s="85" t="s">
        <v>324</v>
      </c>
      <c r="G31" s="86">
        <v>1313088097</v>
      </c>
      <c r="H31" s="87" t="s">
        <v>325</v>
      </c>
      <c r="I31" s="88" t="s">
        <v>326</v>
      </c>
      <c r="J31" s="85" t="s">
        <v>336</v>
      </c>
      <c r="K31" s="89">
        <v>45871</v>
      </c>
    </row>
    <row r="32" spans="2:11">
      <c r="B32" s="84">
        <v>30</v>
      </c>
      <c r="C32" s="101">
        <v>11718</v>
      </c>
      <c r="D32" s="84" t="s">
        <v>124</v>
      </c>
      <c r="E32" s="84" t="s">
        <v>26</v>
      </c>
      <c r="F32" s="85" t="s">
        <v>324</v>
      </c>
      <c r="G32" s="86">
        <v>1313088178</v>
      </c>
      <c r="H32" s="87" t="s">
        <v>325</v>
      </c>
      <c r="I32" s="88" t="s">
        <v>331</v>
      </c>
      <c r="J32" s="85" t="s">
        <v>339</v>
      </c>
      <c r="K32" s="89">
        <v>45850</v>
      </c>
    </row>
    <row r="33" spans="2:11">
      <c r="B33" s="84">
        <v>31</v>
      </c>
      <c r="C33" s="101">
        <v>11720</v>
      </c>
      <c r="D33" s="84" t="s">
        <v>375</v>
      </c>
      <c r="E33" s="84" t="s">
        <v>53</v>
      </c>
      <c r="F33" s="85" t="s">
        <v>324</v>
      </c>
      <c r="G33" s="86">
        <v>1313438548</v>
      </c>
      <c r="H33" s="87" t="s">
        <v>328</v>
      </c>
      <c r="I33" s="88" t="s">
        <v>47</v>
      </c>
      <c r="J33" s="85" t="s">
        <v>329</v>
      </c>
      <c r="K33" s="89">
        <v>45847</v>
      </c>
    </row>
    <row r="34" spans="2:11">
      <c r="B34" s="84">
        <v>32</v>
      </c>
      <c r="C34" s="101">
        <v>11706</v>
      </c>
      <c r="D34" s="84" t="s">
        <v>376</v>
      </c>
      <c r="E34" s="84" t="s">
        <v>42</v>
      </c>
      <c r="F34" s="85" t="s">
        <v>324</v>
      </c>
      <c r="G34" s="86">
        <v>1313088224</v>
      </c>
      <c r="H34" s="87" t="s">
        <v>328</v>
      </c>
      <c r="I34" s="87" t="s">
        <v>27</v>
      </c>
      <c r="J34" s="85" t="s">
        <v>356</v>
      </c>
      <c r="K34" s="89">
        <v>45839</v>
      </c>
    </row>
    <row r="35" spans="2:11">
      <c r="B35" s="84">
        <v>33</v>
      </c>
      <c r="C35" s="101">
        <v>11572</v>
      </c>
      <c r="D35" s="84" t="s">
        <v>377</v>
      </c>
      <c r="E35" s="84" t="s">
        <v>41</v>
      </c>
      <c r="F35" s="85" t="s">
        <v>324</v>
      </c>
      <c r="G35" s="86">
        <v>1313088368</v>
      </c>
      <c r="H35" s="87" t="s">
        <v>328</v>
      </c>
      <c r="I35" s="88" t="s">
        <v>58</v>
      </c>
      <c r="J35" s="85" t="s">
        <v>360</v>
      </c>
      <c r="K35" s="89">
        <v>45828</v>
      </c>
    </row>
    <row r="36" spans="2:11">
      <c r="B36" s="84">
        <v>34</v>
      </c>
      <c r="C36" s="101">
        <v>11552</v>
      </c>
      <c r="D36" s="84" t="s">
        <v>74</v>
      </c>
      <c r="E36" s="84" t="s">
        <v>41</v>
      </c>
      <c r="F36" s="85" t="s">
        <v>324</v>
      </c>
      <c r="G36" s="86">
        <v>1313088197</v>
      </c>
      <c r="H36" s="87" t="s">
        <v>328</v>
      </c>
      <c r="I36" s="88" t="s">
        <v>58</v>
      </c>
      <c r="J36" s="85" t="s">
        <v>350</v>
      </c>
      <c r="K36" s="89">
        <v>45818</v>
      </c>
    </row>
    <row r="37" spans="2:11">
      <c r="B37" s="84">
        <v>35</v>
      </c>
      <c r="C37" s="101">
        <v>11553</v>
      </c>
      <c r="D37" s="84" t="s">
        <v>37</v>
      </c>
      <c r="E37" s="84" t="s">
        <v>30</v>
      </c>
      <c r="F37" s="85" t="s">
        <v>324</v>
      </c>
      <c r="G37" s="86">
        <v>1313088366</v>
      </c>
      <c r="H37" s="87" t="s">
        <v>328</v>
      </c>
      <c r="I37" s="87" t="s">
        <v>27</v>
      </c>
      <c r="J37" s="85" t="s">
        <v>356</v>
      </c>
      <c r="K37" s="89">
        <v>45818</v>
      </c>
    </row>
    <row r="38" spans="2:11">
      <c r="B38" s="84">
        <v>36</v>
      </c>
      <c r="C38" s="101">
        <v>11547</v>
      </c>
      <c r="D38" s="84" t="s">
        <v>124</v>
      </c>
      <c r="E38" s="84" t="s">
        <v>30</v>
      </c>
      <c r="F38" s="85" t="s">
        <v>324</v>
      </c>
      <c r="G38" s="86">
        <v>1313088093</v>
      </c>
      <c r="H38" s="87" t="s">
        <v>325</v>
      </c>
      <c r="I38" s="88" t="s">
        <v>402</v>
      </c>
      <c r="J38" s="85" t="s">
        <v>337</v>
      </c>
      <c r="K38" s="89">
        <v>45809</v>
      </c>
    </row>
    <row r="39" spans="2:11">
      <c r="B39" s="84">
        <v>37</v>
      </c>
      <c r="C39" s="101">
        <v>11525</v>
      </c>
      <c r="D39" s="84" t="s">
        <v>75</v>
      </c>
      <c r="E39" s="84" t="s">
        <v>33</v>
      </c>
      <c r="F39" s="85" t="s">
        <v>324</v>
      </c>
      <c r="G39" s="86">
        <v>1313438574</v>
      </c>
      <c r="H39" s="87" t="s">
        <v>328</v>
      </c>
      <c r="I39" s="88" t="s">
        <v>58</v>
      </c>
      <c r="J39" s="88" t="s">
        <v>350</v>
      </c>
      <c r="K39" s="89">
        <v>45797</v>
      </c>
    </row>
    <row r="40" spans="2:11">
      <c r="B40" s="84">
        <v>38</v>
      </c>
      <c r="C40" s="101">
        <v>11511</v>
      </c>
      <c r="D40" s="84" t="s">
        <v>108</v>
      </c>
      <c r="E40" s="84" t="s">
        <v>55</v>
      </c>
      <c r="F40" s="85" t="s">
        <v>324</v>
      </c>
      <c r="G40" s="86">
        <v>1313088502</v>
      </c>
      <c r="H40" s="87" t="s">
        <v>328</v>
      </c>
      <c r="I40" s="88" t="s">
        <v>94</v>
      </c>
      <c r="J40" s="88" t="s">
        <v>333</v>
      </c>
      <c r="K40" s="89">
        <v>45786</v>
      </c>
    </row>
    <row r="41" spans="2:11" ht="25.5">
      <c r="B41" s="84">
        <v>39</v>
      </c>
      <c r="C41" s="101">
        <v>11509</v>
      </c>
      <c r="D41" s="84" t="s">
        <v>93</v>
      </c>
      <c r="E41" s="84" t="s">
        <v>33</v>
      </c>
      <c r="F41" s="85" t="s">
        <v>324</v>
      </c>
      <c r="G41" s="86">
        <v>1313088484</v>
      </c>
      <c r="H41" s="87" t="s">
        <v>328</v>
      </c>
      <c r="I41" s="92" t="s">
        <v>77</v>
      </c>
      <c r="J41" s="88" t="s">
        <v>342</v>
      </c>
      <c r="K41" s="89">
        <v>45779</v>
      </c>
    </row>
    <row r="42" spans="2:11">
      <c r="B42" s="84">
        <v>40</v>
      </c>
      <c r="C42" s="101">
        <v>11437</v>
      </c>
      <c r="D42" s="84" t="s">
        <v>107</v>
      </c>
      <c r="E42" s="84" t="s">
        <v>42</v>
      </c>
      <c r="F42" s="85" t="s">
        <v>324</v>
      </c>
      <c r="G42" s="86">
        <v>1313088552</v>
      </c>
      <c r="H42" s="87" t="s">
        <v>328</v>
      </c>
      <c r="I42" s="88" t="s">
        <v>94</v>
      </c>
      <c r="J42" s="88" t="s">
        <v>378</v>
      </c>
      <c r="K42" s="89">
        <v>45764</v>
      </c>
    </row>
    <row r="43" spans="2:11">
      <c r="B43" s="84">
        <v>41</v>
      </c>
      <c r="C43" s="101">
        <v>11420</v>
      </c>
      <c r="D43" s="84" t="s">
        <v>379</v>
      </c>
      <c r="E43" s="84" t="s">
        <v>33</v>
      </c>
      <c r="F43" s="85" t="s">
        <v>324</v>
      </c>
      <c r="G43" s="86">
        <v>1313088294</v>
      </c>
      <c r="H43" s="87" t="s">
        <v>325</v>
      </c>
      <c r="I43" s="88" t="s">
        <v>326</v>
      </c>
      <c r="J43" s="88" t="s">
        <v>336</v>
      </c>
      <c r="K43" s="89">
        <v>45762</v>
      </c>
    </row>
    <row r="44" spans="2:11">
      <c r="B44" s="84">
        <v>42</v>
      </c>
      <c r="C44" s="101">
        <v>11425</v>
      </c>
      <c r="D44" s="84" t="s">
        <v>105</v>
      </c>
      <c r="E44" s="84" t="s">
        <v>33</v>
      </c>
      <c r="F44" s="85" t="s">
        <v>324</v>
      </c>
      <c r="G44" s="86">
        <v>1313088414</v>
      </c>
      <c r="H44" s="87" t="s">
        <v>328</v>
      </c>
      <c r="I44" s="88" t="s">
        <v>94</v>
      </c>
      <c r="J44" s="88" t="s">
        <v>333</v>
      </c>
      <c r="K44" s="89">
        <v>45761</v>
      </c>
    </row>
    <row r="45" spans="2:11">
      <c r="B45" s="84">
        <v>43</v>
      </c>
      <c r="C45" s="101">
        <v>11427</v>
      </c>
      <c r="D45" s="84" t="s">
        <v>106</v>
      </c>
      <c r="E45" s="84" t="s">
        <v>55</v>
      </c>
      <c r="F45" s="85" t="s">
        <v>324</v>
      </c>
      <c r="G45" s="86">
        <v>1313438665</v>
      </c>
      <c r="H45" s="87" t="s">
        <v>328</v>
      </c>
      <c r="I45" s="88" t="s">
        <v>94</v>
      </c>
      <c r="J45" s="88" t="s">
        <v>333</v>
      </c>
      <c r="K45" s="89">
        <v>45761</v>
      </c>
    </row>
    <row r="46" spans="2:11">
      <c r="B46" s="84">
        <v>44</v>
      </c>
      <c r="C46" s="101">
        <v>11378</v>
      </c>
      <c r="D46" s="84" t="s">
        <v>56</v>
      </c>
      <c r="E46" s="84" t="s">
        <v>33</v>
      </c>
      <c r="F46" s="85" t="s">
        <v>324</v>
      </c>
      <c r="G46" s="86">
        <v>1313088169</v>
      </c>
      <c r="H46" s="87" t="s">
        <v>328</v>
      </c>
      <c r="I46" s="88" t="s">
        <v>47</v>
      </c>
      <c r="J46" s="88" t="s">
        <v>329</v>
      </c>
      <c r="K46" s="89">
        <v>45755</v>
      </c>
    </row>
    <row r="47" spans="2:11">
      <c r="B47" s="84">
        <v>45</v>
      </c>
      <c r="C47" s="101">
        <v>11379</v>
      </c>
      <c r="D47" s="84" t="s">
        <v>73</v>
      </c>
      <c r="E47" s="84" t="s">
        <v>40</v>
      </c>
      <c r="F47" s="85" t="s">
        <v>324</v>
      </c>
      <c r="G47" s="86">
        <v>1313088468</v>
      </c>
      <c r="H47" s="87" t="s">
        <v>328</v>
      </c>
      <c r="I47" s="88" t="s">
        <v>58</v>
      </c>
      <c r="J47" s="88" t="s">
        <v>350</v>
      </c>
      <c r="K47" s="89">
        <v>45755</v>
      </c>
    </row>
    <row r="48" spans="2:11">
      <c r="B48" s="84">
        <v>46</v>
      </c>
      <c r="C48" s="101">
        <v>11373</v>
      </c>
      <c r="D48" s="84" t="s">
        <v>72</v>
      </c>
      <c r="E48" s="84" t="s">
        <v>45</v>
      </c>
      <c r="F48" s="85" t="s">
        <v>324</v>
      </c>
      <c r="G48" s="86">
        <v>1313088472</v>
      </c>
      <c r="H48" s="87" t="s">
        <v>328</v>
      </c>
      <c r="I48" s="88" t="s">
        <v>58</v>
      </c>
      <c r="J48" s="88" t="s">
        <v>350</v>
      </c>
      <c r="K48" s="89">
        <v>45754</v>
      </c>
    </row>
    <row r="49" spans="2:11">
      <c r="B49" s="84">
        <v>47</v>
      </c>
      <c r="C49" s="101">
        <v>11411</v>
      </c>
      <c r="D49" s="84" t="s">
        <v>132</v>
      </c>
      <c r="E49" s="84" t="s">
        <v>45</v>
      </c>
      <c r="F49" s="85" t="s">
        <v>324</v>
      </c>
      <c r="G49" s="86">
        <v>1313088311</v>
      </c>
      <c r="H49" s="87" t="s">
        <v>325</v>
      </c>
      <c r="I49" s="88" t="s">
        <v>331</v>
      </c>
      <c r="J49" s="88" t="s">
        <v>339</v>
      </c>
      <c r="K49" s="89">
        <v>45752</v>
      </c>
    </row>
    <row r="50" spans="2:11">
      <c r="B50" s="84">
        <v>48</v>
      </c>
      <c r="C50" s="101">
        <v>11315</v>
      </c>
      <c r="D50" s="84" t="s">
        <v>43</v>
      </c>
      <c r="E50" s="84" t="s">
        <v>44</v>
      </c>
      <c r="F50" s="85" t="s">
        <v>324</v>
      </c>
      <c r="G50" s="86">
        <v>1313088402</v>
      </c>
      <c r="H50" s="87" t="s">
        <v>328</v>
      </c>
      <c r="I50" s="87" t="s">
        <v>27</v>
      </c>
      <c r="J50" s="88" t="s">
        <v>356</v>
      </c>
      <c r="K50" s="89">
        <v>45741</v>
      </c>
    </row>
    <row r="51" spans="2:11">
      <c r="B51" s="84">
        <v>49</v>
      </c>
      <c r="C51" s="101">
        <v>11304</v>
      </c>
      <c r="D51" s="84" t="s">
        <v>104</v>
      </c>
      <c r="E51" s="84" t="s">
        <v>40</v>
      </c>
      <c r="F51" s="85" t="s">
        <v>324</v>
      </c>
      <c r="G51" s="86">
        <v>1313088423</v>
      </c>
      <c r="H51" s="87" t="s">
        <v>328</v>
      </c>
      <c r="I51" s="88" t="s">
        <v>94</v>
      </c>
      <c r="J51" s="88" t="s">
        <v>333</v>
      </c>
      <c r="K51" s="89">
        <v>45732</v>
      </c>
    </row>
    <row r="52" spans="2:11">
      <c r="B52" s="84">
        <v>50</v>
      </c>
      <c r="C52" s="101">
        <v>11280</v>
      </c>
      <c r="D52" s="84" t="s">
        <v>380</v>
      </c>
      <c r="E52" s="84" t="s">
        <v>45</v>
      </c>
      <c r="F52" s="85" t="s">
        <v>324</v>
      </c>
      <c r="G52" s="86">
        <v>1313088190</v>
      </c>
      <c r="H52" s="87" t="s">
        <v>325</v>
      </c>
      <c r="I52" s="88" t="s">
        <v>331</v>
      </c>
      <c r="J52" s="88" t="s">
        <v>339</v>
      </c>
      <c r="K52" s="89">
        <v>45724</v>
      </c>
    </row>
    <row r="53" spans="2:11">
      <c r="B53" s="84">
        <v>51</v>
      </c>
      <c r="C53" s="101">
        <v>11279</v>
      </c>
      <c r="D53" s="84" t="s">
        <v>140</v>
      </c>
      <c r="E53" s="84" t="s">
        <v>53</v>
      </c>
      <c r="F53" s="85" t="s">
        <v>324</v>
      </c>
      <c r="G53" s="86">
        <v>1313088171</v>
      </c>
      <c r="H53" s="87" t="s">
        <v>325</v>
      </c>
      <c r="I53" s="88" t="s">
        <v>403</v>
      </c>
      <c r="J53" s="88" t="s">
        <v>352</v>
      </c>
      <c r="K53" s="89">
        <v>45724</v>
      </c>
    </row>
    <row r="54" spans="2:11">
      <c r="B54" s="84">
        <v>52</v>
      </c>
      <c r="C54" s="101">
        <v>11263</v>
      </c>
      <c r="D54" s="84" t="s">
        <v>102</v>
      </c>
      <c r="E54" s="84" t="s">
        <v>33</v>
      </c>
      <c r="F54" s="85" t="s">
        <v>324</v>
      </c>
      <c r="G54" s="86">
        <v>1313438699</v>
      </c>
      <c r="H54" s="87" t="s">
        <v>328</v>
      </c>
      <c r="I54" s="88" t="s">
        <v>94</v>
      </c>
      <c r="J54" s="88" t="s">
        <v>378</v>
      </c>
      <c r="K54" s="89">
        <v>45717</v>
      </c>
    </row>
    <row r="55" spans="2:11">
      <c r="B55" s="84">
        <v>53</v>
      </c>
      <c r="C55" s="101">
        <v>11265</v>
      </c>
      <c r="D55" s="84" t="s">
        <v>103</v>
      </c>
      <c r="E55" s="84" t="s">
        <v>41</v>
      </c>
      <c r="F55" s="85" t="s">
        <v>324</v>
      </c>
      <c r="G55" s="86">
        <v>1313438563</v>
      </c>
      <c r="H55" s="87" t="s">
        <v>328</v>
      </c>
      <c r="I55" s="88" t="s">
        <v>94</v>
      </c>
      <c r="J55" s="88" t="s">
        <v>333</v>
      </c>
      <c r="K55" s="89">
        <v>45717</v>
      </c>
    </row>
    <row r="56" spans="2:11">
      <c r="B56" s="84">
        <v>54</v>
      </c>
      <c r="C56" s="101">
        <v>11256</v>
      </c>
      <c r="D56" s="95" t="s">
        <v>92</v>
      </c>
      <c r="E56" s="95" t="s">
        <v>40</v>
      </c>
      <c r="F56" s="85" t="s">
        <v>324</v>
      </c>
      <c r="G56" s="86">
        <v>1313088396</v>
      </c>
      <c r="H56" s="87" t="s">
        <v>328</v>
      </c>
      <c r="I56" s="88" t="s">
        <v>77</v>
      </c>
      <c r="J56" s="88" t="s">
        <v>381</v>
      </c>
      <c r="K56" s="89">
        <v>45710</v>
      </c>
    </row>
    <row r="57" spans="2:11">
      <c r="B57" s="84">
        <v>55</v>
      </c>
      <c r="C57" s="101">
        <v>11250</v>
      </c>
      <c r="D57" s="95" t="s">
        <v>105</v>
      </c>
      <c r="E57" s="95" t="s">
        <v>44</v>
      </c>
      <c r="F57" s="85" t="s">
        <v>324</v>
      </c>
      <c r="G57" s="86">
        <v>1313088353</v>
      </c>
      <c r="H57" s="87" t="s">
        <v>325</v>
      </c>
      <c r="I57" s="88" t="s">
        <v>403</v>
      </c>
      <c r="J57" s="88" t="s">
        <v>352</v>
      </c>
      <c r="K57" s="89">
        <v>45689</v>
      </c>
    </row>
    <row r="58" spans="2:11" ht="25.5">
      <c r="B58" s="84">
        <v>56</v>
      </c>
      <c r="C58" s="101">
        <v>11233</v>
      </c>
      <c r="D58" s="84" t="s">
        <v>91</v>
      </c>
      <c r="E58" s="84" t="s">
        <v>35</v>
      </c>
      <c r="F58" s="85" t="s">
        <v>324</v>
      </c>
      <c r="G58" s="86">
        <v>1313438523</v>
      </c>
      <c r="H58" s="87" t="s">
        <v>328</v>
      </c>
      <c r="I58" s="92" t="s">
        <v>77</v>
      </c>
      <c r="J58" s="88" t="s">
        <v>342</v>
      </c>
      <c r="K58" s="89">
        <v>45667</v>
      </c>
    </row>
    <row r="59" spans="2:11">
      <c r="B59" s="84">
        <v>57</v>
      </c>
      <c r="C59" s="101">
        <v>11228</v>
      </c>
      <c r="D59" s="84" t="s">
        <v>90</v>
      </c>
      <c r="E59" s="84" t="s">
        <v>39</v>
      </c>
      <c r="F59" s="85" t="s">
        <v>324</v>
      </c>
      <c r="G59" s="86">
        <v>1313088395</v>
      </c>
      <c r="H59" s="87" t="s">
        <v>328</v>
      </c>
      <c r="I59" s="92" t="s">
        <v>77</v>
      </c>
      <c r="J59" s="88" t="s">
        <v>343</v>
      </c>
      <c r="K59" s="89">
        <v>45647</v>
      </c>
    </row>
    <row r="60" spans="2:11">
      <c r="B60" s="84">
        <v>58</v>
      </c>
      <c r="C60" s="101">
        <v>11226</v>
      </c>
      <c r="D60" s="84" t="s">
        <v>382</v>
      </c>
      <c r="E60" s="84" t="s">
        <v>35</v>
      </c>
      <c r="F60" s="85" t="s">
        <v>324</v>
      </c>
      <c r="G60" s="86">
        <v>1313088584</v>
      </c>
      <c r="H60" s="87" t="s">
        <v>328</v>
      </c>
      <c r="I60" s="88" t="s">
        <v>94</v>
      </c>
      <c r="J60" s="88" t="s">
        <v>378</v>
      </c>
      <c r="K60" s="89">
        <v>45641</v>
      </c>
    </row>
    <row r="61" spans="2:11">
      <c r="B61" s="84">
        <v>59</v>
      </c>
      <c r="C61" s="101">
        <v>11214</v>
      </c>
      <c r="D61" s="84" t="s">
        <v>383</v>
      </c>
      <c r="E61" s="84" t="s">
        <v>42</v>
      </c>
      <c r="F61" s="85" t="s">
        <v>324</v>
      </c>
      <c r="G61" s="86">
        <v>1313088457</v>
      </c>
      <c r="H61" s="87" t="s">
        <v>328</v>
      </c>
      <c r="I61" s="88" t="s">
        <v>94</v>
      </c>
      <c r="J61" s="88" t="s">
        <v>378</v>
      </c>
      <c r="K61" s="89">
        <v>45611</v>
      </c>
    </row>
    <row r="62" spans="2:11">
      <c r="B62" s="84">
        <v>60</v>
      </c>
      <c r="C62" s="101">
        <v>11203</v>
      </c>
      <c r="D62" s="95" t="s">
        <v>384</v>
      </c>
      <c r="E62" s="95" t="s">
        <v>30</v>
      </c>
      <c r="F62" s="85" t="s">
        <v>324</v>
      </c>
      <c r="G62" s="86">
        <v>1313088254</v>
      </c>
      <c r="H62" s="87" t="s">
        <v>325</v>
      </c>
      <c r="I62" s="88" t="s">
        <v>331</v>
      </c>
      <c r="J62" s="88" t="s">
        <v>339</v>
      </c>
      <c r="K62" s="89">
        <v>45601</v>
      </c>
    </row>
    <row r="63" spans="2:11">
      <c r="B63" s="84">
        <v>61</v>
      </c>
      <c r="C63" s="98">
        <v>11186</v>
      </c>
      <c r="D63" s="92" t="s">
        <v>89</v>
      </c>
      <c r="E63" s="92" t="s">
        <v>41</v>
      </c>
      <c r="F63" s="85" t="s">
        <v>324</v>
      </c>
      <c r="G63" s="86">
        <v>1313438580</v>
      </c>
      <c r="H63" s="87" t="s">
        <v>328</v>
      </c>
      <c r="I63" s="92" t="s">
        <v>77</v>
      </c>
      <c r="J63" s="88" t="s">
        <v>343</v>
      </c>
      <c r="K63" s="96">
        <v>45577</v>
      </c>
    </row>
    <row r="64" spans="2:11">
      <c r="B64" s="84">
        <v>62</v>
      </c>
      <c r="C64" s="98">
        <v>11120</v>
      </c>
      <c r="D64" s="92" t="s">
        <v>54</v>
      </c>
      <c r="E64" s="92" t="s">
        <v>41</v>
      </c>
      <c r="F64" s="85" t="s">
        <v>324</v>
      </c>
      <c r="G64" s="86">
        <v>1313088252</v>
      </c>
      <c r="H64" s="87" t="s">
        <v>328</v>
      </c>
      <c r="I64" s="88" t="s">
        <v>47</v>
      </c>
      <c r="J64" s="88" t="s">
        <v>367</v>
      </c>
      <c r="K64" s="96">
        <v>45540</v>
      </c>
    </row>
    <row r="65" spans="2:11">
      <c r="B65" s="84">
        <v>63</v>
      </c>
      <c r="C65" s="98">
        <v>11119</v>
      </c>
      <c r="D65" s="92" t="s">
        <v>88</v>
      </c>
      <c r="E65" s="92" t="s">
        <v>53</v>
      </c>
      <c r="F65" s="85" t="s">
        <v>324</v>
      </c>
      <c r="G65" s="86">
        <v>1313088536</v>
      </c>
      <c r="H65" s="87" t="s">
        <v>328</v>
      </c>
      <c r="I65" s="92" t="s">
        <v>77</v>
      </c>
      <c r="J65" s="88" t="s">
        <v>343</v>
      </c>
      <c r="K65" s="96">
        <v>45537</v>
      </c>
    </row>
    <row r="66" spans="2:11">
      <c r="B66" s="84">
        <v>64</v>
      </c>
      <c r="C66" s="98">
        <v>11113</v>
      </c>
      <c r="D66" s="92" t="s">
        <v>139</v>
      </c>
      <c r="E66" s="92" t="s">
        <v>118</v>
      </c>
      <c r="F66" s="85" t="s">
        <v>324</v>
      </c>
      <c r="G66" s="86">
        <v>1313088160</v>
      </c>
      <c r="H66" s="87" t="s">
        <v>325</v>
      </c>
      <c r="I66" s="88" t="s">
        <v>403</v>
      </c>
      <c r="J66" s="88" t="s">
        <v>352</v>
      </c>
      <c r="K66" s="96">
        <v>45534</v>
      </c>
    </row>
    <row r="67" spans="2:11">
      <c r="B67" s="84">
        <v>65</v>
      </c>
      <c r="C67" s="98">
        <v>11059</v>
      </c>
      <c r="D67" s="92" t="s">
        <v>71</v>
      </c>
      <c r="E67" s="92" t="s">
        <v>44</v>
      </c>
      <c r="F67" s="85" t="s">
        <v>324</v>
      </c>
      <c r="G67" s="86">
        <v>1313088407</v>
      </c>
      <c r="H67" s="87" t="s">
        <v>328</v>
      </c>
      <c r="I67" s="88" t="s">
        <v>58</v>
      </c>
      <c r="J67" s="88" t="s">
        <v>385</v>
      </c>
      <c r="K67" s="96">
        <v>45469</v>
      </c>
    </row>
    <row r="68" spans="2:11">
      <c r="B68" s="84">
        <v>66</v>
      </c>
      <c r="C68" s="98">
        <v>11041</v>
      </c>
      <c r="D68" s="92" t="s">
        <v>224</v>
      </c>
      <c r="E68" s="92" t="s">
        <v>386</v>
      </c>
      <c r="F68" s="85" t="s">
        <v>324</v>
      </c>
      <c r="G68" s="86">
        <v>1313088503</v>
      </c>
      <c r="H68" s="87" t="s">
        <v>325</v>
      </c>
      <c r="I68" s="88" t="s">
        <v>326</v>
      </c>
      <c r="J68" s="88" t="s">
        <v>369</v>
      </c>
      <c r="K68" s="96">
        <v>45445</v>
      </c>
    </row>
    <row r="69" spans="2:11">
      <c r="B69" s="84">
        <v>67</v>
      </c>
      <c r="C69" s="98">
        <v>11044</v>
      </c>
      <c r="D69" s="92" t="s">
        <v>101</v>
      </c>
      <c r="E69" s="92" t="s">
        <v>30</v>
      </c>
      <c r="F69" s="85" t="s">
        <v>324</v>
      </c>
      <c r="G69" s="86">
        <v>1313438601</v>
      </c>
      <c r="H69" s="87" t="s">
        <v>328</v>
      </c>
      <c r="I69" s="88" t="s">
        <v>94</v>
      </c>
      <c r="J69" s="88" t="s">
        <v>333</v>
      </c>
      <c r="K69" s="96">
        <v>45444</v>
      </c>
    </row>
    <row r="70" spans="2:11">
      <c r="B70" s="84">
        <v>68</v>
      </c>
      <c r="C70" s="98">
        <v>11036</v>
      </c>
      <c r="D70" s="92" t="s">
        <v>52</v>
      </c>
      <c r="E70" s="92" t="s">
        <v>35</v>
      </c>
      <c r="F70" s="85" t="s">
        <v>324</v>
      </c>
      <c r="G70" s="86">
        <v>1313088297</v>
      </c>
      <c r="H70" s="87" t="s">
        <v>328</v>
      </c>
      <c r="I70" s="88" t="s">
        <v>47</v>
      </c>
      <c r="J70" s="88" t="s">
        <v>329</v>
      </c>
      <c r="K70" s="96">
        <v>45437</v>
      </c>
    </row>
    <row r="71" spans="2:11" ht="25.5">
      <c r="B71" s="84">
        <v>69</v>
      </c>
      <c r="C71" s="98">
        <v>11027</v>
      </c>
      <c r="D71" s="92" t="s">
        <v>87</v>
      </c>
      <c r="E71" s="92" t="s">
        <v>26</v>
      </c>
      <c r="F71" s="85" t="s">
        <v>324</v>
      </c>
      <c r="G71" s="86">
        <v>1313438571</v>
      </c>
      <c r="H71" s="87" t="s">
        <v>328</v>
      </c>
      <c r="I71" s="92" t="s">
        <v>77</v>
      </c>
      <c r="J71" s="88" t="s">
        <v>342</v>
      </c>
      <c r="K71" s="96">
        <v>45430</v>
      </c>
    </row>
    <row r="72" spans="2:11">
      <c r="B72" s="84">
        <v>70</v>
      </c>
      <c r="C72" s="98">
        <v>11007</v>
      </c>
      <c r="D72" s="92" t="s">
        <v>70</v>
      </c>
      <c r="E72" s="92" t="s">
        <v>42</v>
      </c>
      <c r="F72" s="85" t="s">
        <v>324</v>
      </c>
      <c r="G72" s="86">
        <v>1313088473</v>
      </c>
      <c r="H72" s="87" t="s">
        <v>328</v>
      </c>
      <c r="I72" s="88" t="s">
        <v>58</v>
      </c>
      <c r="J72" s="88" t="s">
        <v>350</v>
      </c>
      <c r="K72" s="96">
        <v>45418</v>
      </c>
    </row>
    <row r="73" spans="2:11">
      <c r="B73" s="84">
        <v>71</v>
      </c>
      <c r="C73" s="98">
        <v>11006</v>
      </c>
      <c r="D73" s="92" t="s">
        <v>86</v>
      </c>
      <c r="E73" s="92" t="s">
        <v>44</v>
      </c>
      <c r="F73" s="85" t="s">
        <v>324</v>
      </c>
      <c r="G73" s="86">
        <v>1313088400</v>
      </c>
      <c r="H73" s="87" t="s">
        <v>328</v>
      </c>
      <c r="I73" s="92" t="s">
        <v>77</v>
      </c>
      <c r="J73" s="88" t="s">
        <v>343</v>
      </c>
      <c r="K73" s="96">
        <v>45416</v>
      </c>
    </row>
    <row r="74" spans="2:11">
      <c r="B74" s="84">
        <v>72</v>
      </c>
      <c r="C74" s="98">
        <v>10918</v>
      </c>
      <c r="D74" s="92" t="s">
        <v>387</v>
      </c>
      <c r="E74" s="92" t="s">
        <v>33</v>
      </c>
      <c r="F74" s="85" t="s">
        <v>324</v>
      </c>
      <c r="G74" s="86">
        <v>1313438667</v>
      </c>
      <c r="H74" s="87" t="s">
        <v>328</v>
      </c>
      <c r="I74" s="88" t="s">
        <v>94</v>
      </c>
      <c r="J74" s="88" t="s">
        <v>378</v>
      </c>
      <c r="K74" s="96">
        <v>45405</v>
      </c>
    </row>
    <row r="75" spans="2:11">
      <c r="B75" s="84">
        <v>73</v>
      </c>
      <c r="C75" s="98">
        <v>10834</v>
      </c>
      <c r="D75" s="92" t="s">
        <v>69</v>
      </c>
      <c r="E75" s="92" t="s">
        <v>45</v>
      </c>
      <c r="F75" s="85" t="s">
        <v>324</v>
      </c>
      <c r="G75" s="86">
        <v>1313438672</v>
      </c>
      <c r="H75" s="87" t="s">
        <v>328</v>
      </c>
      <c r="I75" s="88" t="s">
        <v>58</v>
      </c>
      <c r="J75" s="88" t="s">
        <v>385</v>
      </c>
      <c r="K75" s="96">
        <v>45371</v>
      </c>
    </row>
    <row r="76" spans="2:11">
      <c r="B76" s="84">
        <v>74</v>
      </c>
      <c r="C76" s="98">
        <v>10820</v>
      </c>
      <c r="D76" s="92" t="s">
        <v>99</v>
      </c>
      <c r="E76" s="92" t="s">
        <v>45</v>
      </c>
      <c r="F76" s="85" t="s">
        <v>324</v>
      </c>
      <c r="G76" s="86">
        <v>1313088392</v>
      </c>
      <c r="H76" s="87" t="s">
        <v>328</v>
      </c>
      <c r="I76" s="88" t="s">
        <v>94</v>
      </c>
      <c r="J76" s="88" t="s">
        <v>333</v>
      </c>
      <c r="K76" s="96">
        <v>45369</v>
      </c>
    </row>
    <row r="77" spans="2:11">
      <c r="B77" s="84">
        <v>75</v>
      </c>
      <c r="C77" s="98">
        <v>10801</v>
      </c>
      <c r="D77" s="92" t="s">
        <v>85</v>
      </c>
      <c r="E77" s="92" t="s">
        <v>33</v>
      </c>
      <c r="F77" s="85" t="s">
        <v>324</v>
      </c>
      <c r="G77" s="86">
        <v>1313438508</v>
      </c>
      <c r="H77" s="87" t="s">
        <v>328</v>
      </c>
      <c r="I77" s="92" t="s">
        <v>77</v>
      </c>
      <c r="J77" s="88" t="s">
        <v>343</v>
      </c>
      <c r="K77" s="96">
        <v>45364</v>
      </c>
    </row>
    <row r="78" spans="2:11">
      <c r="B78" s="84">
        <v>76</v>
      </c>
      <c r="C78" s="98">
        <v>10771</v>
      </c>
      <c r="D78" s="92" t="s">
        <v>68</v>
      </c>
      <c r="E78" s="92" t="s">
        <v>42</v>
      </c>
      <c r="F78" s="85" t="s">
        <v>324</v>
      </c>
      <c r="G78" s="86">
        <v>1313438606</v>
      </c>
      <c r="H78" s="87" t="s">
        <v>328</v>
      </c>
      <c r="I78" s="88" t="s">
        <v>58</v>
      </c>
      <c r="J78" s="88" t="s">
        <v>350</v>
      </c>
      <c r="K78" s="96">
        <v>45357</v>
      </c>
    </row>
    <row r="79" spans="2:11" ht="25.5">
      <c r="B79" s="84">
        <v>77</v>
      </c>
      <c r="C79" s="98">
        <v>10772</v>
      </c>
      <c r="D79" s="92" t="s">
        <v>84</v>
      </c>
      <c r="E79" s="92" t="s">
        <v>42</v>
      </c>
      <c r="F79" s="85" t="s">
        <v>324</v>
      </c>
      <c r="G79" s="86">
        <v>1313438607</v>
      </c>
      <c r="H79" s="87" t="s">
        <v>328</v>
      </c>
      <c r="I79" s="92" t="s">
        <v>77</v>
      </c>
      <c r="J79" s="88" t="s">
        <v>342</v>
      </c>
      <c r="K79" s="96">
        <v>45357</v>
      </c>
    </row>
    <row r="80" spans="2:11">
      <c r="B80" s="84">
        <v>78</v>
      </c>
      <c r="C80" s="98">
        <v>10765</v>
      </c>
      <c r="D80" s="92" t="s">
        <v>83</v>
      </c>
      <c r="E80" s="92" t="s">
        <v>45</v>
      </c>
      <c r="F80" s="85" t="s">
        <v>324</v>
      </c>
      <c r="G80" s="86">
        <v>1313438589</v>
      </c>
      <c r="H80" s="87" t="s">
        <v>328</v>
      </c>
      <c r="I80" s="92" t="s">
        <v>77</v>
      </c>
      <c r="J80" s="88" t="s">
        <v>343</v>
      </c>
      <c r="K80" s="96">
        <v>45353</v>
      </c>
    </row>
    <row r="81" spans="2:11">
      <c r="B81" s="84">
        <v>79</v>
      </c>
      <c r="C81" s="98">
        <v>10756</v>
      </c>
      <c r="D81" s="92" t="s">
        <v>130</v>
      </c>
      <c r="E81" s="92" t="s">
        <v>33</v>
      </c>
      <c r="F81" s="85" t="s">
        <v>324</v>
      </c>
      <c r="G81" s="86">
        <v>1313088447</v>
      </c>
      <c r="H81" s="87" t="s">
        <v>325</v>
      </c>
      <c r="I81" s="88" t="s">
        <v>331</v>
      </c>
      <c r="J81" s="88" t="s">
        <v>339</v>
      </c>
      <c r="K81" s="96">
        <v>45353</v>
      </c>
    </row>
    <row r="82" spans="2:11">
      <c r="B82" s="84">
        <v>80</v>
      </c>
      <c r="C82" s="98">
        <v>10732</v>
      </c>
      <c r="D82" s="92" t="s">
        <v>388</v>
      </c>
      <c r="E82" s="92" t="s">
        <v>40</v>
      </c>
      <c r="F82" s="85" t="s">
        <v>324</v>
      </c>
      <c r="G82" s="86">
        <v>1313088090</v>
      </c>
      <c r="H82" s="87" t="s">
        <v>328</v>
      </c>
      <c r="I82" s="88" t="s">
        <v>94</v>
      </c>
      <c r="J82" s="88" t="s">
        <v>333</v>
      </c>
      <c r="K82" s="96">
        <v>45348</v>
      </c>
    </row>
    <row r="83" spans="2:11">
      <c r="B83" s="84">
        <v>81</v>
      </c>
      <c r="C83" s="98">
        <v>10642</v>
      </c>
      <c r="D83" s="92" t="s">
        <v>127</v>
      </c>
      <c r="E83" s="92" t="s">
        <v>35</v>
      </c>
      <c r="F83" s="85" t="s">
        <v>324</v>
      </c>
      <c r="G83" s="86">
        <v>1313088398</v>
      </c>
      <c r="H83" s="87" t="s">
        <v>325</v>
      </c>
      <c r="I83" s="88" t="s">
        <v>331</v>
      </c>
      <c r="J83" s="88" t="s">
        <v>339</v>
      </c>
      <c r="K83" s="96">
        <v>45306</v>
      </c>
    </row>
    <row r="84" spans="2:11" ht="25.5">
      <c r="B84" s="84">
        <v>82</v>
      </c>
      <c r="C84" s="101">
        <v>10624</v>
      </c>
      <c r="D84" s="84" t="s">
        <v>82</v>
      </c>
      <c r="E84" s="84" t="s">
        <v>30</v>
      </c>
      <c r="F84" s="85" t="s">
        <v>324</v>
      </c>
      <c r="G84" s="86">
        <v>1313088393</v>
      </c>
      <c r="H84" s="87" t="s">
        <v>328</v>
      </c>
      <c r="I84" s="92" t="s">
        <v>77</v>
      </c>
      <c r="J84" s="88" t="s">
        <v>342</v>
      </c>
      <c r="K84" s="89">
        <v>45251</v>
      </c>
    </row>
    <row r="85" spans="2:11">
      <c r="B85" s="84">
        <v>83</v>
      </c>
      <c r="C85" s="101">
        <v>10584</v>
      </c>
      <c r="D85" s="84" t="s">
        <v>38</v>
      </c>
      <c r="E85" s="84" t="s">
        <v>39</v>
      </c>
      <c r="F85" s="85" t="s">
        <v>324</v>
      </c>
      <c r="G85" s="86">
        <v>1313088340</v>
      </c>
      <c r="H85" s="87" t="s">
        <v>328</v>
      </c>
      <c r="I85" s="87" t="s">
        <v>27</v>
      </c>
      <c r="J85" s="88" t="s">
        <v>356</v>
      </c>
      <c r="K85" s="89">
        <v>45207</v>
      </c>
    </row>
    <row r="86" spans="2:11">
      <c r="B86" s="84">
        <v>84</v>
      </c>
      <c r="C86" s="101">
        <v>10529</v>
      </c>
      <c r="D86" s="84" t="s">
        <v>138</v>
      </c>
      <c r="E86" s="84" t="s">
        <v>35</v>
      </c>
      <c r="F86" s="85" t="s">
        <v>324</v>
      </c>
      <c r="G86" s="86">
        <v>1313088530</v>
      </c>
      <c r="H86" s="87" t="s">
        <v>325</v>
      </c>
      <c r="I86" s="88" t="s">
        <v>403</v>
      </c>
      <c r="J86" s="88" t="s">
        <v>352</v>
      </c>
      <c r="K86" s="89">
        <v>45162</v>
      </c>
    </row>
    <row r="87" spans="2:11">
      <c r="B87" s="84">
        <v>85</v>
      </c>
      <c r="C87" s="101">
        <v>10514</v>
      </c>
      <c r="D87" s="84" t="s">
        <v>80</v>
      </c>
      <c r="E87" s="84" t="s">
        <v>81</v>
      </c>
      <c r="F87" s="85" t="s">
        <v>324</v>
      </c>
      <c r="G87" s="86">
        <v>1313088504</v>
      </c>
      <c r="H87" s="87" t="s">
        <v>328</v>
      </c>
      <c r="I87" s="92" t="s">
        <v>77</v>
      </c>
      <c r="J87" s="88" t="s">
        <v>343</v>
      </c>
      <c r="K87" s="89">
        <v>45148</v>
      </c>
    </row>
    <row r="88" spans="2:11">
      <c r="B88" s="84">
        <v>86</v>
      </c>
      <c r="C88" s="101">
        <v>10470</v>
      </c>
      <c r="D88" s="84" t="s">
        <v>122</v>
      </c>
      <c r="E88" s="84" t="s">
        <v>123</v>
      </c>
      <c r="F88" s="85" t="s">
        <v>324</v>
      </c>
      <c r="G88" s="86">
        <v>1313088227</v>
      </c>
      <c r="H88" s="87" t="s">
        <v>325</v>
      </c>
      <c r="I88" s="88" t="s">
        <v>402</v>
      </c>
      <c r="J88" s="88" t="s">
        <v>337</v>
      </c>
      <c r="K88" s="89">
        <v>45120</v>
      </c>
    </row>
    <row r="89" spans="2:11">
      <c r="B89" s="84">
        <v>87</v>
      </c>
      <c r="C89" s="101">
        <v>10379</v>
      </c>
      <c r="D89" s="84" t="s">
        <v>98</v>
      </c>
      <c r="E89" s="84" t="s">
        <v>39</v>
      </c>
      <c r="F89" s="85" t="s">
        <v>324</v>
      </c>
      <c r="G89" s="86">
        <v>1313438702</v>
      </c>
      <c r="H89" s="87" t="s">
        <v>328</v>
      </c>
      <c r="I89" s="88" t="s">
        <v>94</v>
      </c>
      <c r="J89" s="88" t="s">
        <v>333</v>
      </c>
      <c r="K89" s="89">
        <v>45070</v>
      </c>
    </row>
    <row r="90" spans="2:11">
      <c r="B90" s="84">
        <v>88</v>
      </c>
      <c r="C90" s="101">
        <v>10370</v>
      </c>
      <c r="D90" s="84" t="s">
        <v>66</v>
      </c>
      <c r="E90" s="84" t="s">
        <v>67</v>
      </c>
      <c r="F90" s="85" t="s">
        <v>324</v>
      </c>
      <c r="G90" s="86">
        <v>1313088483</v>
      </c>
      <c r="H90" s="87" t="s">
        <v>328</v>
      </c>
      <c r="I90" s="88" t="s">
        <v>58</v>
      </c>
      <c r="J90" s="88" t="s">
        <v>350</v>
      </c>
      <c r="K90" s="89">
        <v>45061</v>
      </c>
    </row>
    <row r="91" spans="2:11">
      <c r="B91" s="84">
        <v>89</v>
      </c>
      <c r="C91" s="101">
        <v>10345</v>
      </c>
      <c r="D91" s="84" t="s">
        <v>129</v>
      </c>
      <c r="E91" s="84" t="s">
        <v>30</v>
      </c>
      <c r="F91" s="85" t="s">
        <v>324</v>
      </c>
      <c r="G91" s="86">
        <v>1313088204</v>
      </c>
      <c r="H91" s="87" t="s">
        <v>325</v>
      </c>
      <c r="I91" s="88" t="s">
        <v>331</v>
      </c>
      <c r="J91" s="88" t="s">
        <v>339</v>
      </c>
      <c r="K91" s="89">
        <v>45059</v>
      </c>
    </row>
    <row r="92" spans="2:11">
      <c r="B92" s="84">
        <v>90</v>
      </c>
      <c r="C92" s="101">
        <v>10312</v>
      </c>
      <c r="D92" s="84" t="s">
        <v>137</v>
      </c>
      <c r="E92" s="84" t="s">
        <v>45</v>
      </c>
      <c r="F92" s="85" t="s">
        <v>324</v>
      </c>
      <c r="G92" s="86">
        <v>1313088433</v>
      </c>
      <c r="H92" s="87" t="s">
        <v>325</v>
      </c>
      <c r="I92" s="88" t="s">
        <v>403</v>
      </c>
      <c r="J92" s="88" t="s">
        <v>352</v>
      </c>
      <c r="K92" s="89">
        <v>45033</v>
      </c>
    </row>
    <row r="93" spans="2:11" ht="25.5">
      <c r="B93" s="84">
        <v>91</v>
      </c>
      <c r="C93" s="101">
        <v>10190</v>
      </c>
      <c r="D93" s="84" t="s">
        <v>120</v>
      </c>
      <c r="E93" s="84" t="s">
        <v>45</v>
      </c>
      <c r="F93" s="85" t="s">
        <v>324</v>
      </c>
      <c r="G93" s="86">
        <v>1313088426</v>
      </c>
      <c r="H93" s="87" t="s">
        <v>325</v>
      </c>
      <c r="I93" s="88" t="s">
        <v>402</v>
      </c>
      <c r="J93" s="88" t="s">
        <v>389</v>
      </c>
      <c r="K93" s="89">
        <v>44996</v>
      </c>
    </row>
    <row r="94" spans="2:11">
      <c r="B94" s="84">
        <v>92</v>
      </c>
      <c r="C94" s="101">
        <v>10183</v>
      </c>
      <c r="D94" s="84" t="s">
        <v>50</v>
      </c>
      <c r="E94" s="84" t="s">
        <v>35</v>
      </c>
      <c r="F94" s="85" t="s">
        <v>324</v>
      </c>
      <c r="G94" s="86">
        <v>1313438522</v>
      </c>
      <c r="H94" s="87" t="s">
        <v>328</v>
      </c>
      <c r="I94" s="88" t="s">
        <v>47</v>
      </c>
      <c r="J94" s="88" t="s">
        <v>329</v>
      </c>
      <c r="K94" s="89">
        <v>44993</v>
      </c>
    </row>
    <row r="95" spans="2:11">
      <c r="B95" s="84">
        <v>93</v>
      </c>
      <c r="C95" s="101">
        <v>10167</v>
      </c>
      <c r="D95" s="84" t="s">
        <v>79</v>
      </c>
      <c r="E95" s="84" t="s">
        <v>42</v>
      </c>
      <c r="F95" s="85" t="s">
        <v>324</v>
      </c>
      <c r="G95" s="86">
        <v>1313088229</v>
      </c>
      <c r="H95" s="87" t="s">
        <v>328</v>
      </c>
      <c r="I95" s="92" t="s">
        <v>77</v>
      </c>
      <c r="J95" s="88" t="s">
        <v>343</v>
      </c>
      <c r="K95" s="89">
        <v>44986</v>
      </c>
    </row>
    <row r="96" spans="2:11">
      <c r="B96" s="84">
        <v>94</v>
      </c>
      <c r="C96" s="98">
        <v>10102</v>
      </c>
      <c r="D96" s="84" t="s">
        <v>117</v>
      </c>
      <c r="E96" s="84" t="s">
        <v>118</v>
      </c>
      <c r="F96" s="85" t="s">
        <v>324</v>
      </c>
      <c r="G96" s="86">
        <v>1313088263</v>
      </c>
      <c r="H96" s="87" t="s">
        <v>325</v>
      </c>
      <c r="I96" s="88" t="s">
        <v>402</v>
      </c>
      <c r="J96" s="88" t="s">
        <v>337</v>
      </c>
      <c r="K96" s="89">
        <v>44959</v>
      </c>
    </row>
    <row r="97" spans="2:11">
      <c r="B97" s="84">
        <v>95</v>
      </c>
      <c r="C97" s="101">
        <v>10058</v>
      </c>
      <c r="D97" s="84" t="s">
        <v>97</v>
      </c>
      <c r="E97" s="84" t="s">
        <v>44</v>
      </c>
      <c r="F97" s="85" t="s">
        <v>324</v>
      </c>
      <c r="G97" s="86">
        <v>1313088399</v>
      </c>
      <c r="H97" s="87" t="s">
        <v>328</v>
      </c>
      <c r="I97" s="88" t="s">
        <v>94</v>
      </c>
      <c r="J97" s="88" t="s">
        <v>333</v>
      </c>
      <c r="K97" s="89">
        <v>44952</v>
      </c>
    </row>
    <row r="98" spans="2:11">
      <c r="B98" s="84">
        <v>96</v>
      </c>
      <c r="C98" s="101">
        <v>10055</v>
      </c>
      <c r="D98" s="84" t="s">
        <v>65</v>
      </c>
      <c r="E98" s="84" t="s">
        <v>33</v>
      </c>
      <c r="F98" s="85" t="s">
        <v>324</v>
      </c>
      <c r="G98" s="86">
        <v>1313088247</v>
      </c>
      <c r="H98" s="87" t="s">
        <v>328</v>
      </c>
      <c r="I98" s="88" t="s">
        <v>58</v>
      </c>
      <c r="J98" s="88" t="s">
        <v>360</v>
      </c>
      <c r="K98" s="89">
        <v>44951</v>
      </c>
    </row>
    <row r="99" spans="2:11">
      <c r="B99" s="84">
        <v>97</v>
      </c>
      <c r="C99" s="101">
        <v>10035</v>
      </c>
      <c r="D99" s="84" t="s">
        <v>121</v>
      </c>
      <c r="E99" s="84" t="s">
        <v>35</v>
      </c>
      <c r="F99" s="85" t="s">
        <v>324</v>
      </c>
      <c r="G99" s="86">
        <v>1313088225</v>
      </c>
      <c r="H99" s="87" t="s">
        <v>325</v>
      </c>
      <c r="I99" s="88" t="s">
        <v>402</v>
      </c>
      <c r="J99" s="88" t="s">
        <v>337</v>
      </c>
      <c r="K99" s="89">
        <v>44940</v>
      </c>
    </row>
    <row r="100" spans="2:11">
      <c r="B100" s="84">
        <v>98</v>
      </c>
      <c r="C100" s="98">
        <v>9975</v>
      </c>
      <c r="D100" s="84" t="s">
        <v>119</v>
      </c>
      <c r="E100" s="84" t="s">
        <v>44</v>
      </c>
      <c r="F100" s="85" t="s">
        <v>324</v>
      </c>
      <c r="G100" s="86">
        <v>1313088432</v>
      </c>
      <c r="H100" s="87" t="s">
        <v>325</v>
      </c>
      <c r="I100" s="88" t="s">
        <v>402</v>
      </c>
      <c r="J100" s="88" t="s">
        <v>337</v>
      </c>
      <c r="K100" s="89">
        <v>44879</v>
      </c>
    </row>
    <row r="101" spans="2:11">
      <c r="B101" s="84">
        <v>99</v>
      </c>
      <c r="C101" s="98">
        <v>9934</v>
      </c>
      <c r="D101" s="84" t="s">
        <v>49</v>
      </c>
      <c r="E101" s="84" t="s">
        <v>39</v>
      </c>
      <c r="F101" s="85" t="s">
        <v>324</v>
      </c>
      <c r="G101" s="86">
        <v>1313088453</v>
      </c>
      <c r="H101" s="87" t="s">
        <v>328</v>
      </c>
      <c r="I101" s="88" t="s">
        <v>47</v>
      </c>
      <c r="J101" s="88" t="s">
        <v>329</v>
      </c>
      <c r="K101" s="89">
        <v>44855</v>
      </c>
    </row>
    <row r="102" spans="2:11">
      <c r="B102" s="84">
        <v>100</v>
      </c>
      <c r="C102" s="101">
        <v>9849</v>
      </c>
      <c r="D102" s="84" t="s">
        <v>96</v>
      </c>
      <c r="E102" s="84" t="s">
        <v>30</v>
      </c>
      <c r="F102" s="85" t="s">
        <v>324</v>
      </c>
      <c r="G102" s="86">
        <v>1313438573</v>
      </c>
      <c r="H102" s="87" t="s">
        <v>328</v>
      </c>
      <c r="I102" s="88" t="s">
        <v>94</v>
      </c>
      <c r="J102" s="88" t="s">
        <v>378</v>
      </c>
      <c r="K102" s="89">
        <v>44803</v>
      </c>
    </row>
    <row r="103" spans="2:11">
      <c r="B103" s="84">
        <v>101</v>
      </c>
      <c r="C103" s="98">
        <v>9856</v>
      </c>
      <c r="D103" s="84" t="s">
        <v>36</v>
      </c>
      <c r="E103" s="84" t="s">
        <v>35</v>
      </c>
      <c r="F103" s="85" t="s">
        <v>324</v>
      </c>
      <c r="G103" s="86">
        <v>1313438513</v>
      </c>
      <c r="H103" s="87" t="s">
        <v>328</v>
      </c>
      <c r="I103" s="87" t="s">
        <v>27</v>
      </c>
      <c r="J103" s="88" t="s">
        <v>356</v>
      </c>
      <c r="K103" s="89">
        <v>44784</v>
      </c>
    </row>
    <row r="104" spans="2:11">
      <c r="B104" s="84">
        <v>102</v>
      </c>
      <c r="C104" s="101">
        <v>9793</v>
      </c>
      <c r="D104" s="84" t="s">
        <v>223</v>
      </c>
      <c r="E104" s="84" t="s">
        <v>30</v>
      </c>
      <c r="F104" s="85" t="s">
        <v>324</v>
      </c>
      <c r="G104" s="86">
        <v>1313088531</v>
      </c>
      <c r="H104" s="87" t="s">
        <v>325</v>
      </c>
      <c r="I104" s="88" t="s">
        <v>326</v>
      </c>
      <c r="J104" s="88" t="s">
        <v>369</v>
      </c>
      <c r="K104" s="89">
        <v>44771</v>
      </c>
    </row>
    <row r="105" spans="2:11">
      <c r="B105" s="84">
        <v>103</v>
      </c>
      <c r="C105" s="101">
        <v>9769</v>
      </c>
      <c r="D105" s="84" t="s">
        <v>116</v>
      </c>
      <c r="E105" s="84" t="s">
        <v>35</v>
      </c>
      <c r="F105" s="85" t="s">
        <v>324</v>
      </c>
      <c r="G105" s="86">
        <v>1313438538</v>
      </c>
      <c r="H105" s="87" t="s">
        <v>325</v>
      </c>
      <c r="I105" s="88" t="s">
        <v>402</v>
      </c>
      <c r="J105" s="88" t="s">
        <v>337</v>
      </c>
      <c r="K105" s="89">
        <v>44761</v>
      </c>
    </row>
    <row r="106" spans="2:11">
      <c r="B106" s="84">
        <v>104</v>
      </c>
      <c r="C106" s="98">
        <v>9232</v>
      </c>
      <c r="D106" s="84" t="s">
        <v>64</v>
      </c>
      <c r="E106" s="84" t="s">
        <v>35</v>
      </c>
      <c r="F106" s="85" t="s">
        <v>324</v>
      </c>
      <c r="G106" s="86">
        <v>1313088569</v>
      </c>
      <c r="H106" s="87" t="s">
        <v>328</v>
      </c>
      <c r="I106" s="88" t="s">
        <v>58</v>
      </c>
      <c r="J106" s="88" t="s">
        <v>360</v>
      </c>
      <c r="K106" s="89">
        <v>44641</v>
      </c>
    </row>
    <row r="107" spans="2:11">
      <c r="B107" s="84">
        <v>105</v>
      </c>
      <c r="C107" s="101">
        <v>9311</v>
      </c>
      <c r="D107" s="84" t="s">
        <v>115</v>
      </c>
      <c r="E107" s="84" t="s">
        <v>30</v>
      </c>
      <c r="F107" s="85" t="s">
        <v>324</v>
      </c>
      <c r="G107" s="86">
        <v>1313088201</v>
      </c>
      <c r="H107" s="87" t="s">
        <v>325</v>
      </c>
      <c r="I107" s="88" t="s">
        <v>402</v>
      </c>
      <c r="J107" s="88" t="s">
        <v>337</v>
      </c>
      <c r="K107" s="89">
        <v>44640</v>
      </c>
    </row>
    <row r="108" spans="2:11">
      <c r="B108" s="84">
        <v>106</v>
      </c>
      <c r="C108" s="101">
        <v>8870</v>
      </c>
      <c r="D108" s="84" t="s">
        <v>34</v>
      </c>
      <c r="E108" s="84" t="s">
        <v>35</v>
      </c>
      <c r="F108" s="85" t="s">
        <v>324</v>
      </c>
      <c r="G108" s="86">
        <v>1313088096</v>
      </c>
      <c r="H108" s="87" t="s">
        <v>328</v>
      </c>
      <c r="I108" s="87" t="s">
        <v>27</v>
      </c>
      <c r="J108" s="88" t="s">
        <v>356</v>
      </c>
      <c r="K108" s="89">
        <v>44593</v>
      </c>
    </row>
    <row r="109" spans="2:11">
      <c r="B109" s="84">
        <v>107</v>
      </c>
      <c r="C109" s="101">
        <v>8777</v>
      </c>
      <c r="D109" s="84" t="s">
        <v>135</v>
      </c>
      <c r="E109" s="84" t="s">
        <v>41</v>
      </c>
      <c r="F109" s="85" t="s">
        <v>324</v>
      </c>
      <c r="G109" s="86">
        <v>1313088532</v>
      </c>
      <c r="H109" s="87" t="s">
        <v>325</v>
      </c>
      <c r="I109" s="88" t="s">
        <v>403</v>
      </c>
      <c r="J109" s="88" t="s">
        <v>352</v>
      </c>
      <c r="K109" s="89">
        <v>44516</v>
      </c>
    </row>
    <row r="110" spans="2:11">
      <c r="B110" s="84">
        <v>108</v>
      </c>
      <c r="C110" s="101">
        <v>8748</v>
      </c>
      <c r="D110" s="84" t="s">
        <v>32</v>
      </c>
      <c r="E110" s="84" t="s">
        <v>33</v>
      </c>
      <c r="F110" s="85" t="s">
        <v>324</v>
      </c>
      <c r="G110" s="86">
        <v>1313088492</v>
      </c>
      <c r="H110" s="87" t="s">
        <v>328</v>
      </c>
      <c r="I110" s="87" t="s">
        <v>27</v>
      </c>
      <c r="J110" s="88" t="s">
        <v>356</v>
      </c>
      <c r="K110" s="89">
        <v>44492</v>
      </c>
    </row>
    <row r="111" spans="2:11">
      <c r="B111" s="84">
        <v>109</v>
      </c>
      <c r="C111" s="101">
        <v>8638</v>
      </c>
      <c r="D111" s="84" t="s">
        <v>114</v>
      </c>
      <c r="E111" s="84" t="s">
        <v>26</v>
      </c>
      <c r="F111" s="85" t="s">
        <v>324</v>
      </c>
      <c r="G111" s="86">
        <v>1313088175</v>
      </c>
      <c r="H111" s="87" t="s">
        <v>325</v>
      </c>
      <c r="I111" s="88" t="s">
        <v>402</v>
      </c>
      <c r="J111" s="88" t="s">
        <v>337</v>
      </c>
      <c r="K111" s="89">
        <v>44341</v>
      </c>
    </row>
    <row r="112" spans="2:11">
      <c r="B112" s="84">
        <v>110</v>
      </c>
      <c r="C112" s="101">
        <v>8378</v>
      </c>
      <c r="D112" s="84" t="s">
        <v>134</v>
      </c>
      <c r="E112" s="84" t="s">
        <v>30</v>
      </c>
      <c r="F112" s="85" t="s">
        <v>324</v>
      </c>
      <c r="G112" s="86">
        <v>1313088403</v>
      </c>
      <c r="H112" s="87" t="s">
        <v>325</v>
      </c>
      <c r="I112" s="88" t="s">
        <v>403</v>
      </c>
      <c r="J112" s="88" t="s">
        <v>352</v>
      </c>
      <c r="K112" s="89">
        <v>44277</v>
      </c>
    </row>
    <row r="113" spans="2:11">
      <c r="B113" s="84">
        <v>111</v>
      </c>
      <c r="C113" s="101">
        <v>8363</v>
      </c>
      <c r="D113" s="84" t="s">
        <v>390</v>
      </c>
      <c r="E113" s="84" t="s">
        <v>41</v>
      </c>
      <c r="F113" s="85" t="s">
        <v>324</v>
      </c>
      <c r="G113" s="86">
        <v>1313088496</v>
      </c>
      <c r="H113" s="87" t="s">
        <v>325</v>
      </c>
      <c r="I113" s="88" t="s">
        <v>331</v>
      </c>
      <c r="J113" s="88" t="s">
        <v>391</v>
      </c>
      <c r="K113" s="89">
        <v>44271</v>
      </c>
    </row>
    <row r="114" spans="2:11">
      <c r="B114" s="84">
        <v>112</v>
      </c>
      <c r="C114" s="101">
        <v>8289</v>
      </c>
      <c r="D114" s="84" t="s">
        <v>112</v>
      </c>
      <c r="E114" s="84" t="s">
        <v>113</v>
      </c>
      <c r="F114" s="85" t="s">
        <v>324</v>
      </c>
      <c r="G114" s="86">
        <v>1313088127</v>
      </c>
      <c r="H114" s="87" t="s">
        <v>325</v>
      </c>
      <c r="I114" s="88" t="s">
        <v>402</v>
      </c>
      <c r="J114" s="88" t="s">
        <v>337</v>
      </c>
      <c r="K114" s="89">
        <v>44263</v>
      </c>
    </row>
    <row r="115" spans="2:11" ht="25.5">
      <c r="B115" s="84">
        <v>113</v>
      </c>
      <c r="C115" s="101">
        <v>8204</v>
      </c>
      <c r="D115" s="84" t="s">
        <v>111</v>
      </c>
      <c r="E115" s="84" t="s">
        <v>41</v>
      </c>
      <c r="F115" s="85" t="s">
        <v>324</v>
      </c>
      <c r="G115" s="86">
        <v>1313088187</v>
      </c>
      <c r="H115" s="87" t="s">
        <v>325</v>
      </c>
      <c r="I115" s="88" t="s">
        <v>402</v>
      </c>
      <c r="J115" s="88" t="s">
        <v>389</v>
      </c>
      <c r="K115" s="89">
        <v>44259</v>
      </c>
    </row>
    <row r="116" spans="2:11">
      <c r="B116" s="84">
        <v>114</v>
      </c>
      <c r="C116" s="101">
        <v>8145</v>
      </c>
      <c r="D116" s="84" t="s">
        <v>78</v>
      </c>
      <c r="E116" s="84" t="s">
        <v>41</v>
      </c>
      <c r="F116" s="85" t="s">
        <v>324</v>
      </c>
      <c r="G116" s="86">
        <v>1313088153</v>
      </c>
      <c r="H116" s="87" t="s">
        <v>328</v>
      </c>
      <c r="I116" s="92" t="s">
        <v>77</v>
      </c>
      <c r="J116" s="88" t="s">
        <v>392</v>
      </c>
      <c r="K116" s="89">
        <v>44184</v>
      </c>
    </row>
    <row r="117" spans="2:11">
      <c r="B117" s="84">
        <v>115</v>
      </c>
      <c r="C117" s="101">
        <v>7617</v>
      </c>
      <c r="D117" s="84" t="s">
        <v>31</v>
      </c>
      <c r="E117" s="84" t="s">
        <v>26</v>
      </c>
      <c r="F117" s="85" t="s">
        <v>324</v>
      </c>
      <c r="G117" s="86">
        <v>1313088262</v>
      </c>
      <c r="H117" s="87" t="s">
        <v>328</v>
      </c>
      <c r="I117" s="87" t="s">
        <v>27</v>
      </c>
      <c r="J117" s="88" t="s">
        <v>393</v>
      </c>
      <c r="K117" s="89">
        <v>43882</v>
      </c>
    </row>
    <row r="118" spans="2:11">
      <c r="B118" s="84">
        <v>116</v>
      </c>
      <c r="C118" s="101">
        <v>7502</v>
      </c>
      <c r="D118" s="84" t="s">
        <v>62</v>
      </c>
      <c r="E118" s="84" t="s">
        <v>63</v>
      </c>
      <c r="F118" s="85" t="s">
        <v>324</v>
      </c>
      <c r="G118" s="86">
        <v>1313438680</v>
      </c>
      <c r="H118" s="87" t="s">
        <v>328</v>
      </c>
      <c r="I118" s="88" t="s">
        <v>58</v>
      </c>
      <c r="J118" s="88" t="s">
        <v>350</v>
      </c>
      <c r="K118" s="89">
        <v>43740</v>
      </c>
    </row>
    <row r="119" spans="2:11">
      <c r="B119" s="84">
        <v>117</v>
      </c>
      <c r="C119" s="101">
        <v>7494</v>
      </c>
      <c r="D119" s="84" t="s">
        <v>394</v>
      </c>
      <c r="E119" s="84" t="s">
        <v>63</v>
      </c>
      <c r="F119" s="85" t="s">
        <v>324</v>
      </c>
      <c r="G119" s="86">
        <v>1313088174</v>
      </c>
      <c r="H119" s="87" t="s">
        <v>328</v>
      </c>
      <c r="I119" s="88" t="s">
        <v>94</v>
      </c>
      <c r="J119" s="88" t="s">
        <v>333</v>
      </c>
      <c r="K119" s="89">
        <v>43730</v>
      </c>
    </row>
    <row r="120" spans="2:11">
      <c r="B120" s="84">
        <v>118</v>
      </c>
      <c r="C120" s="101">
        <v>7477</v>
      </c>
      <c r="D120" s="84" t="s">
        <v>29</v>
      </c>
      <c r="E120" s="84" t="s">
        <v>30</v>
      </c>
      <c r="F120" s="85" t="s">
        <v>324</v>
      </c>
      <c r="G120" s="86">
        <v>1313438669</v>
      </c>
      <c r="H120" s="87" t="s">
        <v>328</v>
      </c>
      <c r="I120" s="87" t="s">
        <v>27</v>
      </c>
      <c r="J120" s="88" t="s">
        <v>356</v>
      </c>
      <c r="K120" s="89">
        <v>43664</v>
      </c>
    </row>
    <row r="121" spans="2:11">
      <c r="B121" s="84">
        <v>119</v>
      </c>
      <c r="C121" s="101">
        <v>7375</v>
      </c>
      <c r="D121" s="84" t="s">
        <v>48</v>
      </c>
      <c r="E121" s="84" t="s">
        <v>26</v>
      </c>
      <c r="F121" s="85" t="s">
        <v>324</v>
      </c>
      <c r="G121" s="86">
        <v>1313438572</v>
      </c>
      <c r="H121" s="87" t="s">
        <v>328</v>
      </c>
      <c r="I121" s="88" t="s">
        <v>47</v>
      </c>
      <c r="J121" s="88" t="s">
        <v>329</v>
      </c>
      <c r="K121" s="89">
        <v>43592</v>
      </c>
    </row>
    <row r="122" spans="2:11">
      <c r="B122" s="84">
        <v>120</v>
      </c>
      <c r="C122" s="101">
        <v>7226</v>
      </c>
      <c r="D122" s="84" t="s">
        <v>61</v>
      </c>
      <c r="E122" s="84" t="s">
        <v>33</v>
      </c>
      <c r="F122" s="85" t="s">
        <v>324</v>
      </c>
      <c r="G122" s="86">
        <v>1313088547</v>
      </c>
      <c r="H122" s="87" t="s">
        <v>328</v>
      </c>
      <c r="I122" s="88" t="s">
        <v>58</v>
      </c>
      <c r="J122" s="88" t="s">
        <v>385</v>
      </c>
      <c r="K122" s="89">
        <v>43562</v>
      </c>
    </row>
    <row r="123" spans="2:11">
      <c r="B123" s="84">
        <v>121</v>
      </c>
      <c r="C123" s="101">
        <v>7113</v>
      </c>
      <c r="D123" s="84" t="s">
        <v>60</v>
      </c>
      <c r="E123" s="84" t="s">
        <v>26</v>
      </c>
      <c r="F123" s="85" t="s">
        <v>324</v>
      </c>
      <c r="G123" s="86">
        <v>1313088477</v>
      </c>
      <c r="H123" s="87" t="s">
        <v>328</v>
      </c>
      <c r="I123" s="88" t="s">
        <v>58</v>
      </c>
      <c r="J123" s="88" t="s">
        <v>350</v>
      </c>
      <c r="K123" s="89">
        <v>43543</v>
      </c>
    </row>
    <row r="124" spans="2:11" ht="25.5">
      <c r="B124" s="84">
        <v>122</v>
      </c>
      <c r="C124" s="101">
        <v>6966</v>
      </c>
      <c r="D124" s="84" t="s">
        <v>133</v>
      </c>
      <c r="E124" s="84" t="s">
        <v>26</v>
      </c>
      <c r="F124" s="85" t="s">
        <v>324</v>
      </c>
      <c r="G124" s="86">
        <v>1313088408</v>
      </c>
      <c r="H124" s="87" t="s">
        <v>325</v>
      </c>
      <c r="I124" s="88" t="s">
        <v>326</v>
      </c>
      <c r="J124" s="88" t="s">
        <v>395</v>
      </c>
      <c r="K124" s="89">
        <v>43523</v>
      </c>
    </row>
    <row r="125" spans="2:11" ht="25.5">
      <c r="B125" s="84">
        <v>123</v>
      </c>
      <c r="C125" s="101">
        <v>6653</v>
      </c>
      <c r="D125" s="84" t="s">
        <v>110</v>
      </c>
      <c r="E125" s="84" t="s">
        <v>26</v>
      </c>
      <c r="F125" s="85" t="s">
        <v>324</v>
      </c>
      <c r="G125" s="86">
        <v>1313088516</v>
      </c>
      <c r="H125" s="87" t="s">
        <v>325</v>
      </c>
      <c r="I125" s="88" t="s">
        <v>402</v>
      </c>
      <c r="J125" s="88" t="s">
        <v>389</v>
      </c>
      <c r="K125" s="89">
        <v>43497</v>
      </c>
    </row>
    <row r="126" spans="2:11">
      <c r="B126" s="84">
        <v>124</v>
      </c>
      <c r="C126" s="101">
        <v>6644</v>
      </c>
      <c r="D126" s="84" t="s">
        <v>25</v>
      </c>
      <c r="E126" s="84" t="s">
        <v>26</v>
      </c>
      <c r="F126" s="85" t="s">
        <v>324</v>
      </c>
      <c r="G126" s="86">
        <v>1313088456</v>
      </c>
      <c r="H126" s="87" t="s">
        <v>328</v>
      </c>
      <c r="I126" s="87" t="s">
        <v>27</v>
      </c>
      <c r="J126" s="88" t="s">
        <v>356</v>
      </c>
      <c r="K126" s="89">
        <v>43497</v>
      </c>
    </row>
    <row r="127" spans="2:11">
      <c r="B127" s="84">
        <v>125</v>
      </c>
      <c r="C127" s="101">
        <v>6651</v>
      </c>
      <c r="D127" s="84" t="s">
        <v>28</v>
      </c>
      <c r="E127" s="84" t="s">
        <v>26</v>
      </c>
      <c r="F127" s="85" t="s">
        <v>324</v>
      </c>
      <c r="G127" s="86">
        <v>1313088207</v>
      </c>
      <c r="H127" s="87" t="s">
        <v>328</v>
      </c>
      <c r="I127" s="87" t="s">
        <v>27</v>
      </c>
      <c r="J127" s="88" t="s">
        <v>393</v>
      </c>
      <c r="K127" s="89">
        <v>43497</v>
      </c>
    </row>
    <row r="128" spans="2:11">
      <c r="B128" s="84">
        <v>126</v>
      </c>
      <c r="C128" s="101">
        <v>6652</v>
      </c>
      <c r="D128" s="84" t="s">
        <v>46</v>
      </c>
      <c r="E128" s="84" t="s">
        <v>41</v>
      </c>
      <c r="F128" s="85" t="s">
        <v>324</v>
      </c>
      <c r="G128" s="86">
        <v>1313088556</v>
      </c>
      <c r="H128" s="87" t="s">
        <v>328</v>
      </c>
      <c r="I128" s="88" t="s">
        <v>47</v>
      </c>
      <c r="J128" s="88" t="s">
        <v>367</v>
      </c>
      <c r="K128" s="89">
        <v>43497</v>
      </c>
    </row>
    <row r="129" spans="2:11">
      <c r="B129" s="84">
        <v>127</v>
      </c>
      <c r="C129" s="101">
        <v>6690</v>
      </c>
      <c r="D129" s="84" t="s">
        <v>57</v>
      </c>
      <c r="E129" s="84" t="s">
        <v>41</v>
      </c>
      <c r="F129" s="85" t="s">
        <v>324</v>
      </c>
      <c r="G129" s="86">
        <v>1313088182</v>
      </c>
      <c r="H129" s="87" t="s">
        <v>328</v>
      </c>
      <c r="I129" s="88" t="s">
        <v>58</v>
      </c>
      <c r="J129" s="88" t="s">
        <v>350</v>
      </c>
      <c r="K129" s="89">
        <v>43497</v>
      </c>
    </row>
    <row r="130" spans="2:11">
      <c r="B130" s="84">
        <v>128</v>
      </c>
      <c r="C130" s="101">
        <v>6712</v>
      </c>
      <c r="D130" s="84" t="s">
        <v>59</v>
      </c>
      <c r="E130" s="84" t="s">
        <v>26</v>
      </c>
      <c r="F130" s="85" t="s">
        <v>324</v>
      </c>
      <c r="G130" s="86">
        <v>1313088475</v>
      </c>
      <c r="H130" s="87" t="s">
        <v>328</v>
      </c>
      <c r="I130" s="88" t="s">
        <v>58</v>
      </c>
      <c r="J130" s="88" t="s">
        <v>385</v>
      </c>
      <c r="K130" s="89">
        <v>43497</v>
      </c>
    </row>
    <row r="131" spans="2:11" ht="25.5">
      <c r="B131" s="84">
        <v>129</v>
      </c>
      <c r="C131" s="98">
        <v>6424</v>
      </c>
      <c r="D131" s="84" t="s">
        <v>76</v>
      </c>
      <c r="E131" s="84" t="s">
        <v>41</v>
      </c>
      <c r="F131" s="85" t="s">
        <v>324</v>
      </c>
      <c r="G131" s="86">
        <v>1313088165</v>
      </c>
      <c r="H131" s="87" t="s">
        <v>328</v>
      </c>
      <c r="I131" s="92" t="s">
        <v>77</v>
      </c>
      <c r="J131" s="88" t="s">
        <v>342</v>
      </c>
      <c r="K131" s="89">
        <v>43204</v>
      </c>
    </row>
    <row r="132" spans="2:11">
      <c r="B132" s="84">
        <v>130</v>
      </c>
      <c r="C132" s="98">
        <v>1611</v>
      </c>
      <c r="D132" s="84" t="s">
        <v>126</v>
      </c>
      <c r="E132" s="84" t="s">
        <v>118</v>
      </c>
      <c r="F132" s="85" t="s">
        <v>324</v>
      </c>
      <c r="G132" s="86">
        <v>1313088114</v>
      </c>
      <c r="H132" s="87" t="s">
        <v>325</v>
      </c>
      <c r="I132" s="88" t="s">
        <v>331</v>
      </c>
      <c r="J132" s="88" t="s">
        <v>339</v>
      </c>
      <c r="K132" s="89">
        <v>42993</v>
      </c>
    </row>
  </sheetData>
  <autoFilter ref="B2:K132" xr:uid="{2ED8314B-EF70-450F-9160-F340B29B1221}"/>
  <conditionalFormatting sqref="C6:C17">
    <cfRule type="duplicateValues" dxfId="12" priority="3940"/>
  </conditionalFormatting>
  <conditionalFormatting sqref="C18:C20 C2">
    <cfRule type="duplicateValues" dxfId="11" priority="3939"/>
  </conditionalFormatting>
  <conditionalFormatting sqref="C21">
    <cfRule type="duplicateValues" dxfId="10" priority="7"/>
  </conditionalFormatting>
  <conditionalFormatting sqref="C22:C26">
    <cfRule type="duplicateValues" dxfId="9" priority="3938"/>
  </conditionalFormatting>
  <conditionalFormatting sqref="C27:C34">
    <cfRule type="duplicateValues" dxfId="8" priority="3656"/>
  </conditionalFormatting>
  <conditionalFormatting sqref="C27:C132">
    <cfRule type="duplicateValues" dxfId="7" priority="3935"/>
  </conditionalFormatting>
  <conditionalFormatting sqref="C35:C44 C27:C31">
    <cfRule type="duplicateValues" dxfId="6" priority="3930"/>
  </conditionalFormatting>
  <conditionalFormatting sqref="C35:C44">
    <cfRule type="duplicateValues" dxfId="5" priority="3933"/>
  </conditionalFormatting>
  <conditionalFormatting sqref="C45:C50">
    <cfRule type="duplicateValues" dxfId="4" priority="5"/>
  </conditionalFormatting>
  <conditionalFormatting sqref="D21">
    <cfRule type="duplicateValues" dxfId="3" priority="6"/>
  </conditionalFormatting>
  <conditionalFormatting sqref="D131">
    <cfRule type="duplicateValues" dxfId="2" priority="11"/>
  </conditionalFormatting>
  <conditionalFormatting sqref="D132">
    <cfRule type="duplicateValues" dxfId="1" priority="1"/>
  </conditionalFormatting>
  <conditionalFormatting sqref="G3:G5">
    <cfRule type="duplicateValues" dxfId="0" priority="394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Database</vt:lpstr>
      <vt:lpstr>Requirements</vt:lpstr>
      <vt:lpstr>Transfer Log</vt:lpstr>
      <vt:lpstr>Disposal Log</vt:lpstr>
      <vt:lpstr>Standard PPE</vt:lpstr>
      <vt:lpstr>Employee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Sala Uddin Pathan  Health, Safety &amp; Security People and Organization</dc:creator>
  <cp:lastModifiedBy>HSSE Manager</cp:lastModifiedBy>
  <dcterms:created xsi:type="dcterms:W3CDTF">2024-08-06T14:54:30Z</dcterms:created>
  <dcterms:modified xsi:type="dcterms:W3CDTF">2026-08-09T12:07:53Z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04d2c9-1577-460e-b668-57374a0216c3_Enabled">
    <vt:lpwstr>true</vt:lpwstr>
  </property>
  <property fmtid="{D5CDD505-2E9C-101B-9397-08002B2CF9AE}" pid="3" name="MSIP_Label_f604d2c9-1577-460e-b668-57374a0216c3_SetDate">
    <vt:lpwstr>2024-08-06T15:10:56Z</vt:lpwstr>
  </property>
  <property fmtid="{D5CDD505-2E9C-101B-9397-08002B2CF9AE}" pid="4" name="MSIP_Label_f604d2c9-1577-460e-b668-57374a0216c3_Method">
    <vt:lpwstr>Standard</vt:lpwstr>
  </property>
  <property fmtid="{D5CDD505-2E9C-101B-9397-08002B2CF9AE}" pid="5" name="MSIP_Label_f604d2c9-1577-460e-b668-57374a0216c3_Name">
    <vt:lpwstr>f604d2c9-1577-460e-b668-57374a0216c3</vt:lpwstr>
  </property>
  <property fmtid="{D5CDD505-2E9C-101B-9397-08002B2CF9AE}" pid="6" name="MSIP_Label_f604d2c9-1577-460e-b668-57374a0216c3_SiteId">
    <vt:lpwstr>1676489c-5c72-46b7-ba63-9ab90c4aad44</vt:lpwstr>
  </property>
  <property fmtid="{D5CDD505-2E9C-101B-9397-08002B2CF9AE}" pid="7" name="MSIP_Label_f604d2c9-1577-460e-b668-57374a0216c3_ActionId">
    <vt:lpwstr>bf8e8ffc-d454-43e5-a5e7-21c866af971a</vt:lpwstr>
  </property>
  <property fmtid="{D5CDD505-2E9C-101B-9397-08002B2CF9AE}" pid="8" name="MSIP_Label_f604d2c9-1577-460e-b668-57374a0216c3_ContentBits">
    <vt:lpwstr>2</vt:lpwstr>
  </property>
</Properties>
</file>